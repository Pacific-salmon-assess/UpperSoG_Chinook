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hnerb\Desktop\"/>
    </mc:Choice>
  </mc:AlternateContent>
  <xr:revisionPtr revIDLastSave="0" documentId="13_ncr:1_{2C383B4E-8282-4092-A9E8-4CA5947B5153}" xr6:coauthVersionLast="47" xr6:coauthVersionMax="47" xr10:uidLastSave="{00000000-0000-0000-0000-000000000000}"/>
  <bookViews>
    <workbookView xWindow="3900" yWindow="3900" windowWidth="28800" windowHeight="15345" activeTab="2" xr2:uid="{5B9AF384-2F8F-4E52-8D23-6F74BCDE772F}"/>
  </bookViews>
  <sheets>
    <sheet name="ReadMe" sheetId="1" r:id="rId1"/>
    <sheet name="Actual Release" sheetId="2" r:id="rId2"/>
    <sheet name="Summary" sheetId="3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<sst xmlns="http://schemas.openxmlformats.org/spreadsheetml/2006/main" count="1523" uniqueCount="224">
  <si>
    <r>
      <t xml:space="preserve">Release Report
</t>
    </r>
    <r>
      <rPr>
        <sz val="11"/>
        <rFont val="Aptos Narrow"/>
        <family val="2"/>
        <scheme val="minor"/>
      </rPr>
      <t>Release data from EPAD database</t>
    </r>
  </si>
  <si>
    <t xml:space="preserve">The Release Report contains actual release data for the requested criteria. The data is denormalized (flattened) from the structured EPAD tables. In most cases there will be 1 row for each release group (MRP_TAGCODE field). However, if there are multiple fin clips for the same release code, there may be &gt;1 row. Most of the data fields should be self-explanatory, but further explanation for some is provided below. </t>
  </si>
  <si>
    <t>RowNum</t>
  </si>
  <si>
    <t>This will be 1 for most cases, but if there are multiple fin clips and &gt;1 row per release group, then it will be 2, 3, etc.</t>
  </si>
  <si>
    <t>TaggedClip</t>
  </si>
  <si>
    <t>The fin clip of the fish that have a coded-wire (CWT) tag.</t>
  </si>
  <si>
    <t>TaggedNum</t>
  </si>
  <si>
    <t>The number of fish that have a CWT.</t>
  </si>
  <si>
    <t>ShedTagNum</t>
  </si>
  <si>
    <t>The number of fish that had a CWT applied, but lost the tag before release.</t>
  </si>
  <si>
    <t>NoTagClip</t>
  </si>
  <si>
    <t>The fin clip of the fish that were clipped but were not tagged.</t>
  </si>
  <si>
    <t>NoTagNum</t>
  </si>
  <si>
    <t>The number of fish that were clipped with "NoTagClip" but were not tagged.</t>
  </si>
  <si>
    <t>NoTagPartMarkNum</t>
  </si>
  <si>
    <t>The number of fish that were clipped but the clip was not complete, so the fin is likely to regenerate.</t>
  </si>
  <si>
    <t>Unmarked Num</t>
  </si>
  <si>
    <t>The number of fish that had no CWT and no fin clip. They may have a thermal mark, but that is included in this report.</t>
  </si>
  <si>
    <t>TotalRelease</t>
  </si>
  <si>
    <t>The total number of fish on the release record. That is, the sum of TaggedNum+ShedTagNum+NoTagNum+NoTagPartMarkNum+UnmarkedNum.</t>
  </si>
  <si>
    <t>Summary Tag</t>
  </si>
  <si>
    <t>This tab includes a suggested pivot table summarizing the release data. It can be edited to suit the user's needs.</t>
  </si>
  <si>
    <t>PROGRAM_CODE</t>
  </si>
  <si>
    <t>PROJ_NAME</t>
  </si>
  <si>
    <t>SPECIES_NAME</t>
  </si>
  <si>
    <t>RUN_NAME</t>
  </si>
  <si>
    <t>BROOD_YEAR</t>
  </si>
  <si>
    <t>STOCK_NAME</t>
  </si>
  <si>
    <t>STOCK_PROD_AREA_CODE</t>
  </si>
  <si>
    <t>STOCK_CU_INDEX</t>
  </si>
  <si>
    <t>STOCK_CU_NAME</t>
  </si>
  <si>
    <t>STOCK_TYPE_CODE</t>
  </si>
  <si>
    <t>REARING_TYPE_CODE</t>
  </si>
  <si>
    <t>FACILITY_NAME</t>
  </si>
  <si>
    <t>RELEASE_SITE_NAME</t>
  </si>
  <si>
    <t>REL_CU_INDEX</t>
  </si>
  <si>
    <t>REL_CU_NAME</t>
  </si>
  <si>
    <t>RELEASE_STAGE_NAME</t>
  </si>
  <si>
    <t>MRP_TAGCODE</t>
  </si>
  <si>
    <t>RELEASE_YEAR</t>
  </si>
  <si>
    <t>START_DATE</t>
  </si>
  <si>
    <t>END_DATE</t>
  </si>
  <si>
    <t>AVE_WEIGHT</t>
  </si>
  <si>
    <t>PURPOSE_CODE</t>
  </si>
  <si>
    <t>TRANSFER</t>
  </si>
  <si>
    <t>RELEASE_COMMENT</t>
  </si>
  <si>
    <t>UnmarkedNum</t>
  </si>
  <si>
    <t>DPI</t>
  </si>
  <si>
    <t>Gillard Pass</t>
  </si>
  <si>
    <t>Chinook</t>
  </si>
  <si>
    <t>Fall</t>
  </si>
  <si>
    <t>Phillips R</t>
  </si>
  <si>
    <t>JNST</t>
  </si>
  <si>
    <t>CK-28</t>
  </si>
  <si>
    <t>SOUTHERN MAINLAND-SOUTHERN FJORDS_FA_0.x</t>
  </si>
  <si>
    <t>W</t>
  </si>
  <si>
    <t>H</t>
  </si>
  <si>
    <t>Fanny Bay/ JNST Seapen</t>
  </si>
  <si>
    <t>Fanny Bay/JNST</t>
  </si>
  <si>
    <t>Seapen 0+</t>
  </si>
  <si>
    <t>NOCN8833</t>
  </si>
  <si>
    <t>19890630</t>
  </si>
  <si>
    <t>B</t>
  </si>
  <si>
    <t>N</t>
  </si>
  <si>
    <t>Quatam Est Seapen</t>
  </si>
  <si>
    <t>Quatam Est</t>
  </si>
  <si>
    <t>NOCN8834</t>
  </si>
  <si>
    <t>19890715</t>
  </si>
  <si>
    <t>Y</t>
  </si>
  <si>
    <t>Phillips River H</t>
  </si>
  <si>
    <t>Smolt 0+</t>
  </si>
  <si>
    <t>NOCN8962</t>
  </si>
  <si>
    <t>199006</t>
  </si>
  <si>
    <t>P</t>
  </si>
  <si>
    <t>M</t>
  </si>
  <si>
    <t>Fed Fry</t>
  </si>
  <si>
    <t>NOCN9058</t>
  </si>
  <si>
    <t>199105</t>
  </si>
  <si>
    <t>NOCN9187</t>
  </si>
  <si>
    <t>199205</t>
  </si>
  <si>
    <t>181026</t>
  </si>
  <si>
    <t>19930702</t>
  </si>
  <si>
    <t>SEAPEN REARED. SEE ALSO 181027.</t>
  </si>
  <si>
    <t>AD</t>
  </si>
  <si>
    <t>181027</t>
  </si>
  <si>
    <t>19930712</t>
  </si>
  <si>
    <t>SEAPEN REARED. SEE ALSO 181026.</t>
  </si>
  <si>
    <t>181444</t>
  </si>
  <si>
    <t>199406</t>
  </si>
  <si>
    <t>NOCN9487</t>
  </si>
  <si>
    <t>199506</t>
  </si>
  <si>
    <t>181351</t>
  </si>
  <si>
    <t>19960624</t>
  </si>
  <si>
    <t>SEE ALSO 181352 &amp; 181353</t>
  </si>
  <si>
    <t>181352</t>
  </si>
  <si>
    <t>SEE ALSO 181351 &amp; 181353</t>
  </si>
  <si>
    <t>181353</t>
  </si>
  <si>
    <t>19960605</t>
  </si>
  <si>
    <t>19960615</t>
  </si>
  <si>
    <t>SEE ALSO 181351 &amp; 181352</t>
  </si>
  <si>
    <t>NOCN9786</t>
  </si>
  <si>
    <t>199805</t>
  </si>
  <si>
    <t>Big Bay Seapen</t>
  </si>
  <si>
    <t>Big Bay</t>
  </si>
  <si>
    <t>CK-29</t>
  </si>
  <si>
    <t>EAST VANCOUVER ISLAND-NORTH_FA_0.x</t>
  </si>
  <si>
    <t>NOCN9869</t>
  </si>
  <si>
    <t>199905</t>
  </si>
  <si>
    <t>SEAPEN RELEASE; WEIGHT RANGE 7-10 GRAMS.</t>
  </si>
  <si>
    <t>NOCN9977</t>
  </si>
  <si>
    <t>20000701</t>
  </si>
  <si>
    <t>181825</t>
  </si>
  <si>
    <t>20010701</t>
  </si>
  <si>
    <t>SEAPEN RELEASE; ALSO SEE 182219; ESTIMATED NUMBERS, DATE &amp; WEIGHT</t>
  </si>
  <si>
    <t>182219</t>
  </si>
  <si>
    <t>SEAPEN RELEASE; ALSO SEE 181825; ESTIMATED NUMBERS, DATE &amp; WEIGHT</t>
  </si>
  <si>
    <t>185317</t>
  </si>
  <si>
    <t>20020629</t>
  </si>
  <si>
    <t>REL AT SEAPEN SITE. ESTIMATED POST TAGGING MORTALITY.</t>
  </si>
  <si>
    <t>185316</t>
  </si>
  <si>
    <t>20020614</t>
  </si>
  <si>
    <t>REL TO RIVER AT LAKE OUTFLOW. ESTIMATED POST TAGGING MORTALITY</t>
  </si>
  <si>
    <t>185529</t>
  </si>
  <si>
    <t>20030729</t>
  </si>
  <si>
    <t>SEE ALSO 181909 &amp; 181911 (RIVER RELEASE).</t>
  </si>
  <si>
    <t>181909</t>
  </si>
  <si>
    <t>20030625</t>
  </si>
  <si>
    <t>SEE ALSO 181911 AND COMPARE TO 185529 (FANNY BAY RELEASE).</t>
  </si>
  <si>
    <t>181911</t>
  </si>
  <si>
    <t>SEE ALSO 181909 AND COMPARE TO 185529 (FANNY BAY SEAPEN RELEASE).</t>
  </si>
  <si>
    <t>183719</t>
  </si>
  <si>
    <t>20040701</t>
  </si>
  <si>
    <t>SEAPEN REARED. SEE ALSO 183720.</t>
  </si>
  <si>
    <t>183720</t>
  </si>
  <si>
    <t>SEAPEN RELEASE. SEE ALSO 183719.</t>
  </si>
  <si>
    <t>NOCN03133</t>
  </si>
  <si>
    <t>20040517</t>
  </si>
  <si>
    <t>RIVER RELEASE. SEE 183719 &amp; 183720 FOR FANNY BAY SEAPEN RELEASE.</t>
  </si>
  <si>
    <t>NOCN0447</t>
  </si>
  <si>
    <t>200506</t>
  </si>
  <si>
    <t>LOW RETURN; NOT ENOUGH TO TAG.</t>
  </si>
  <si>
    <t>Phillips Lk</t>
  </si>
  <si>
    <t>185919</t>
  </si>
  <si>
    <t>20060605</t>
  </si>
  <si>
    <t>185929</t>
  </si>
  <si>
    <t>20070712</t>
  </si>
  <si>
    <t>185928</t>
  </si>
  <si>
    <t>20070517</t>
  </si>
  <si>
    <t>185932</t>
  </si>
  <si>
    <t>20080609</t>
  </si>
  <si>
    <t>ESTIMATED SAMPLE SIZE &amp; LOSS DAYS.</t>
  </si>
  <si>
    <t>185933</t>
  </si>
  <si>
    <t>20080525</t>
  </si>
  <si>
    <t>20080610</t>
  </si>
  <si>
    <t>NOCN0802</t>
  </si>
  <si>
    <t>20090528</t>
  </si>
  <si>
    <t>SEAPEN RELEASE</t>
  </si>
  <si>
    <t>NOCN0803</t>
  </si>
  <si>
    <t>20090523</t>
  </si>
  <si>
    <t>20090530</t>
  </si>
  <si>
    <t>Seapen 1+</t>
  </si>
  <si>
    <t>180680</t>
  </si>
  <si>
    <t>20110424</t>
  </si>
  <si>
    <t>NOCN0967</t>
  </si>
  <si>
    <t>20100525</t>
  </si>
  <si>
    <t>Moved to seapens at 5.84g and lake pens at 5.56g on May 18 then released May 25</t>
  </si>
  <si>
    <t>Smolt 1+</t>
  </si>
  <si>
    <t>180679</t>
  </si>
  <si>
    <t>NOCN0987</t>
  </si>
  <si>
    <t>181879</t>
  </si>
  <si>
    <t>20110603</t>
  </si>
  <si>
    <t>Assume 1% tag loss rate.</t>
  </si>
  <si>
    <t>181878</t>
  </si>
  <si>
    <t>201205</t>
  </si>
  <si>
    <t>181880</t>
  </si>
  <si>
    <t>181372</t>
  </si>
  <si>
    <t>20120603</t>
  </si>
  <si>
    <t>181373</t>
  </si>
  <si>
    <t>180770</t>
  </si>
  <si>
    <t>20140428</t>
  </si>
  <si>
    <t>E</t>
  </si>
  <si>
    <t>180771</t>
  </si>
  <si>
    <t>182083</t>
  </si>
  <si>
    <t>20130519</t>
  </si>
  <si>
    <t>182084</t>
  </si>
  <si>
    <t>182085</t>
  </si>
  <si>
    <t>182876</t>
  </si>
  <si>
    <t>182580</t>
  </si>
  <si>
    <t>20150423</t>
  </si>
  <si>
    <t>182786</t>
  </si>
  <si>
    <t>20140521</t>
  </si>
  <si>
    <t>20140604</t>
  </si>
  <si>
    <t>182787</t>
  </si>
  <si>
    <t>182965</t>
  </si>
  <si>
    <t>183379</t>
  </si>
  <si>
    <t>20150508</t>
  </si>
  <si>
    <t>183380</t>
  </si>
  <si>
    <t>183467</t>
  </si>
  <si>
    <t>183468</t>
  </si>
  <si>
    <t>NOCN1406</t>
  </si>
  <si>
    <t>20150320</t>
  </si>
  <si>
    <t>Helicopter release of surplus fry because of water shortage.</t>
  </si>
  <si>
    <t>184198</t>
  </si>
  <si>
    <t>20160503</t>
  </si>
  <si>
    <t>20160506</t>
  </si>
  <si>
    <t>184199</t>
  </si>
  <si>
    <t>184264</t>
  </si>
  <si>
    <t>184594</t>
  </si>
  <si>
    <t>20170610</t>
  </si>
  <si>
    <t>184595</t>
  </si>
  <si>
    <t>183992</t>
  </si>
  <si>
    <t>20180523</t>
  </si>
  <si>
    <t>184765</t>
  </si>
  <si>
    <t>180595</t>
  </si>
  <si>
    <t>20190501</t>
  </si>
  <si>
    <t>184280</t>
  </si>
  <si>
    <t>185195</t>
  </si>
  <si>
    <t>186480</t>
  </si>
  <si>
    <t>20200508</t>
  </si>
  <si>
    <t>186481</t>
  </si>
  <si>
    <t>(All)</t>
  </si>
  <si>
    <t>Row Labels</t>
  </si>
  <si>
    <t>Column Labels</t>
  </si>
  <si>
    <t>Total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</si>
</sst>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">
    <dxf>
      <alignment horizontal="lef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hner, Brendan" refreshedDate="46091.530453009262" createdVersion="4" refreshedVersion="8" minRefreshableVersion="3" recordCount="69" xr:uid="{5189D6FC-03B1-4C65-A3FF-58B234FF1753}">
  <cacheSource type="worksheet">
    <worksheetSource ref="A1:AG70" sheet="Actual Release"/>
  </cacheSource>
  <cacheFields count="33">
    <cacheField name="PROGRAM_CODE" numFmtId="0">
      <sharedItems/>
    </cacheField>
    <cacheField name="PROJ_NAME" numFmtId="0">
      <sharedItems count="1">
        <s v="Gillard Pass"/>
      </sharedItems>
    </cacheField>
    <cacheField name="SPECIES_NAME" numFmtId="0">
      <sharedItems count="1">
        <s v="Chinook"/>
      </sharedItems>
    </cacheField>
    <cacheField name="RUN_NAME" numFmtId="0">
      <sharedItems count="1">
        <s v="Fall"/>
      </sharedItems>
    </cacheField>
    <cacheField name="BROOD_YEAR" numFmtId="0">
      <sharedItems containsSemiMixedTypes="0" containsString="0" containsNumber="1" containsInteger="1" minValue="1988" maxValue="2019" count="31">
        <n v="1988"/>
        <n v="1989"/>
        <n v="1990"/>
        <n v="1991"/>
        <n v="1992"/>
        <n v="1993"/>
        <n v="1994"/>
        <n v="1995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STOCK_NAME" numFmtId="0">
      <sharedItems count="1">
        <s v="Phillips R"/>
      </sharedItems>
    </cacheField>
    <cacheField name="STOCK_PROD_AREA_CODE" numFmtId="0">
      <sharedItems/>
    </cacheField>
    <cacheField name="STOCK_CU_INDEX" numFmtId="0">
      <sharedItems/>
    </cacheField>
    <cacheField name="STOCK_CU_NAME" numFmtId="0">
      <sharedItems/>
    </cacheField>
    <cacheField name="STOCK_TYPE_CODE" numFmtId="0">
      <sharedItems/>
    </cacheField>
    <cacheField name="REARING_TYPE_CODE" numFmtId="0">
      <sharedItems/>
    </cacheField>
    <cacheField name="FACILITY_NAME" numFmtId="0">
      <sharedItems/>
    </cacheField>
    <cacheField name="RELEASE_SITE_NAME" numFmtId="0">
      <sharedItems count="5">
        <s v="Fanny Bay/JNST"/>
        <s v="Quatam Est"/>
        <s v="Phillips R"/>
        <s v="Big Bay"/>
        <s v="Phillips Lk"/>
      </sharedItems>
    </cacheField>
    <cacheField name="REL_CU_INDEX" numFmtId="0">
      <sharedItems containsBlank="1"/>
    </cacheField>
    <cacheField name="REL_CU_NAME" numFmtId="0">
      <sharedItems containsBlank="1"/>
    </cacheField>
    <cacheField name="RELEASE_STAGE_NAME" numFmtId="0">
      <sharedItems count="5">
        <s v="Seapen 0+"/>
        <s v="Smolt 0+"/>
        <s v="Fed Fry"/>
        <s v="Seapen 1+"/>
        <s v="Smolt 1+"/>
      </sharedItems>
    </cacheField>
    <cacheField name="MRP_TAGCODE" numFmtId="0">
      <sharedItems/>
    </cacheField>
    <cacheField name="RELEASE_YEAR" numFmtId="0">
      <sharedItems containsSemiMixedTypes="0" containsString="0" containsNumber="1" containsInteger="1" minValue="1989" maxValue="2020"/>
    </cacheField>
    <cacheField name="START_DATE" numFmtId="0">
      <sharedItems/>
    </cacheField>
    <cacheField name="END_DATE" numFmtId="0">
      <sharedItems/>
    </cacheField>
    <cacheField name="AVE_WEIGHT" numFmtId="0">
      <sharedItems containsString="0" containsBlank="1" containsNumber="1" minValue="0" maxValue="20.440000000000001"/>
    </cacheField>
    <cacheField name="PURPOSE_CODE" numFmtId="0">
      <sharedItems/>
    </cacheField>
    <cacheField name="TRANSFER" numFmtId="0">
      <sharedItems/>
    </cacheField>
    <cacheField name="RELEASE_COMMENT" numFmtId="0">
      <sharedItems containsBlank="1"/>
    </cacheField>
    <cacheField name="RowNum" numFmtId="0">
      <sharedItems containsSemiMixedTypes="0" containsString="0" containsNumber="1" containsInteger="1" minValue="1" maxValue="1"/>
    </cacheField>
    <cacheField name="TaggedClip" numFmtId="0">
      <sharedItems containsBlank="1"/>
    </cacheField>
    <cacheField name="TaggedNum" numFmtId="0">
      <sharedItems containsSemiMixedTypes="0" containsString="0" containsNumber="1" containsInteger="1" minValue="0" maxValue="65715"/>
    </cacheField>
    <cacheField name="ShedTagNum" numFmtId="0">
      <sharedItems containsSemiMixedTypes="0" containsString="0" containsNumber="1" containsInteger="1" minValue="0" maxValue="704"/>
    </cacheField>
    <cacheField name="NoTagClip" numFmtId="0">
      <sharedItems containsBlank="1"/>
    </cacheField>
    <cacheField name="NoTagNum" numFmtId="0">
      <sharedItems containsSemiMixedTypes="0" containsString="0" containsNumber="1" containsInteger="1" minValue="0" maxValue="4634"/>
    </cacheField>
    <cacheField name="NoTagPartMarkNum" numFmtId="0">
      <sharedItems containsSemiMixedTypes="0" containsString="0" containsNumber="1" containsInteger="1" minValue="0" maxValue="0"/>
    </cacheField>
    <cacheField name="UnmarkedNum" numFmtId="0">
      <sharedItems containsString="0" containsBlank="1" containsNumber="1" containsInteger="1" minValue="28" maxValue="102527"/>
    </cacheField>
    <cacheField name="TotalRelease" numFmtId="0">
      <sharedItems containsSemiMixedTypes="0" containsString="0" containsNumber="1" containsInteger="1" minValue="1000" maxValue="12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DPI"/>
    <x v="0"/>
    <x v="0"/>
    <x v="0"/>
    <x v="0"/>
    <x v="0"/>
    <s v="JNST"/>
    <s v="CK-28"/>
    <s v="SOUTHERN MAINLAND-SOUTHERN FJORDS_FA_0.x"/>
    <s v="W"/>
    <s v="H"/>
    <s v="Fanny Bay/ JNST Seapen"/>
    <x v="0"/>
    <m/>
    <m/>
    <x v="0"/>
    <s v="NOCN8833"/>
    <n v="1989"/>
    <s v="19890630"/>
    <s v="19890630"/>
    <n v="9"/>
    <s v="B"/>
    <s v="N"/>
    <m/>
    <n v="1"/>
    <m/>
    <n v="0"/>
    <n v="0"/>
    <m/>
    <n v="0"/>
    <n v="0"/>
    <n v="12000"/>
    <n v="12000"/>
  </r>
  <r>
    <s v="DPI"/>
    <x v="0"/>
    <x v="0"/>
    <x v="0"/>
    <x v="0"/>
    <x v="0"/>
    <s v="JNST"/>
    <s v="CK-28"/>
    <s v="SOUTHERN MAINLAND-SOUTHERN FJORDS_FA_0.x"/>
    <s v="W"/>
    <s v="H"/>
    <s v="Quatam Est Seapen"/>
    <x v="1"/>
    <m/>
    <m/>
    <x v="0"/>
    <s v="NOCN8834"/>
    <n v="1989"/>
    <s v="19890715"/>
    <s v="19890715"/>
    <n v="10"/>
    <s v="B"/>
    <s v="Y"/>
    <m/>
    <n v="1"/>
    <m/>
    <n v="0"/>
    <n v="0"/>
    <m/>
    <n v="0"/>
    <n v="0"/>
    <n v="15000"/>
    <n v="15000"/>
  </r>
  <r>
    <s v="DPI"/>
    <x v="0"/>
    <x v="0"/>
    <x v="0"/>
    <x v="1"/>
    <x v="0"/>
    <s v="JNST"/>
    <s v="CK-28"/>
    <s v="SOUTHERN MAINLAND-SOUTHERN FJORDS_FA_0.x"/>
    <s v="W"/>
    <s v="H"/>
    <s v="Phillips River H"/>
    <x v="2"/>
    <s v="CK-28"/>
    <s v="SOUTHERN MAINLAND-SOUTHERN FJORDS_FA_0.x"/>
    <x v="1"/>
    <s v="NOCN8962"/>
    <n v="1990"/>
    <s v="199006"/>
    <s v="199006"/>
    <n v="0"/>
    <s v="P"/>
    <s v="N"/>
    <m/>
    <n v="1"/>
    <m/>
    <n v="0"/>
    <n v="0"/>
    <m/>
    <n v="0"/>
    <n v="0"/>
    <n v="1000"/>
    <n v="1000"/>
  </r>
  <r>
    <s v="DPI"/>
    <x v="0"/>
    <x v="0"/>
    <x v="0"/>
    <x v="2"/>
    <x v="0"/>
    <s v="JNST"/>
    <s v="CK-28"/>
    <s v="SOUTHERN MAINLAND-SOUTHERN FJORDS_FA_0.x"/>
    <s v="M"/>
    <s v="H"/>
    <s v="Phillips River H"/>
    <x v="2"/>
    <s v="CK-28"/>
    <s v="SOUTHERN MAINLAND-SOUTHERN FJORDS_FA_0.x"/>
    <x v="2"/>
    <s v="NOCN9058"/>
    <n v="1991"/>
    <s v="199105"/>
    <s v="199105"/>
    <n v="3"/>
    <s v="B"/>
    <s v="N"/>
    <m/>
    <n v="1"/>
    <m/>
    <n v="0"/>
    <n v="0"/>
    <m/>
    <n v="0"/>
    <n v="0"/>
    <n v="2500"/>
    <n v="2500"/>
  </r>
  <r>
    <s v="DPI"/>
    <x v="0"/>
    <x v="0"/>
    <x v="0"/>
    <x v="3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NOCN9187"/>
    <n v="1992"/>
    <s v="199205"/>
    <s v="199205"/>
    <n v="0"/>
    <s v="P"/>
    <s v="N"/>
    <m/>
    <n v="1"/>
    <m/>
    <n v="0"/>
    <n v="0"/>
    <m/>
    <n v="0"/>
    <n v="0"/>
    <n v="14000"/>
    <n v="14000"/>
  </r>
  <r>
    <s v="DPI"/>
    <x v="0"/>
    <x v="0"/>
    <x v="0"/>
    <x v="4"/>
    <x v="0"/>
    <s v="JNST"/>
    <s v="CK-28"/>
    <s v="SOUTHERN MAINLAND-SOUTHERN FJORDS_FA_0.x"/>
    <s v="M"/>
    <s v="H"/>
    <s v="Fanny Bay/ JNST Seapen"/>
    <x v="0"/>
    <m/>
    <m/>
    <x v="0"/>
    <s v="181026"/>
    <n v="1993"/>
    <s v="19930702"/>
    <s v="19930702"/>
    <n v="6"/>
    <s v="B"/>
    <s v="N"/>
    <s v="SEAPEN REARED. SEE ALSO 181027."/>
    <n v="1"/>
    <s v="AD"/>
    <n v="24705"/>
    <n v="250"/>
    <m/>
    <n v="0"/>
    <n v="0"/>
    <n v="5233"/>
    <n v="30188"/>
  </r>
  <r>
    <s v="DPI"/>
    <x v="0"/>
    <x v="0"/>
    <x v="0"/>
    <x v="4"/>
    <x v="0"/>
    <s v="JNST"/>
    <s v="CK-28"/>
    <s v="SOUTHERN MAINLAND-SOUTHERN FJORDS_FA_0.x"/>
    <s v="M"/>
    <s v="H"/>
    <s v="Fanny Bay/ JNST Seapen"/>
    <x v="0"/>
    <m/>
    <m/>
    <x v="0"/>
    <s v="181027"/>
    <n v="1993"/>
    <s v="19930712"/>
    <s v="19930712"/>
    <n v="6"/>
    <s v="B"/>
    <s v="N"/>
    <s v="SEAPEN REARED. SEE ALSO 181026."/>
    <n v="1"/>
    <s v="AD"/>
    <n v="22638"/>
    <n v="275"/>
    <m/>
    <n v="0"/>
    <n v="0"/>
    <n v="8484"/>
    <n v="31397"/>
  </r>
  <r>
    <s v="DPI"/>
    <x v="0"/>
    <x v="0"/>
    <x v="0"/>
    <x v="5"/>
    <x v="0"/>
    <s v="JNST"/>
    <s v="CK-28"/>
    <s v="SOUTHERN MAINLAND-SOUTHERN FJORDS_FA_0.x"/>
    <s v="M"/>
    <s v="H"/>
    <s v="Fanny Bay/ JNST Seapen"/>
    <x v="0"/>
    <m/>
    <m/>
    <x v="0"/>
    <s v="181444"/>
    <n v="1994"/>
    <s v="199406"/>
    <s v="199406"/>
    <n v="0"/>
    <s v="B"/>
    <s v="N"/>
    <m/>
    <n v="1"/>
    <s v="AD"/>
    <n v="65715"/>
    <n v="446"/>
    <m/>
    <n v="0"/>
    <n v="0"/>
    <n v="15480"/>
    <n v="81641"/>
  </r>
  <r>
    <s v="DPI"/>
    <x v="0"/>
    <x v="0"/>
    <x v="0"/>
    <x v="6"/>
    <x v="0"/>
    <s v="JNST"/>
    <s v="CK-28"/>
    <s v="SOUTHERN MAINLAND-SOUTHERN FJORDS_FA_0.x"/>
    <s v="M"/>
    <s v="H"/>
    <s v="Fanny Bay/ JNST Seapen"/>
    <x v="0"/>
    <m/>
    <m/>
    <x v="0"/>
    <s v="NOCN9487"/>
    <n v="1995"/>
    <s v="199506"/>
    <s v="199506"/>
    <n v="5"/>
    <s v="B"/>
    <s v="N"/>
    <m/>
    <n v="1"/>
    <m/>
    <n v="0"/>
    <n v="0"/>
    <m/>
    <n v="0"/>
    <n v="0"/>
    <n v="23090"/>
    <n v="23090"/>
  </r>
  <r>
    <s v="DPI"/>
    <x v="0"/>
    <x v="0"/>
    <x v="0"/>
    <x v="7"/>
    <x v="0"/>
    <s v="JNST"/>
    <s v="CK-28"/>
    <s v="SOUTHERN MAINLAND-SOUTHERN FJORDS_FA_0.x"/>
    <s v="M"/>
    <s v="H"/>
    <s v="Fanny Bay/ JNST Seapen"/>
    <x v="0"/>
    <m/>
    <m/>
    <x v="0"/>
    <s v="181351"/>
    <n v="1996"/>
    <s v="19960624"/>
    <s v="19960624"/>
    <n v="7"/>
    <s v="B"/>
    <s v="N"/>
    <s v="SEE ALSO 181352 &amp; 181353"/>
    <n v="1"/>
    <s v="AD"/>
    <n v="16054"/>
    <n v="32"/>
    <m/>
    <n v="0"/>
    <n v="0"/>
    <n v="1144"/>
    <n v="17230"/>
  </r>
  <r>
    <s v="DPI"/>
    <x v="0"/>
    <x v="0"/>
    <x v="0"/>
    <x v="7"/>
    <x v="0"/>
    <s v="JNST"/>
    <s v="CK-28"/>
    <s v="SOUTHERN MAINLAND-SOUTHERN FJORDS_FA_0.x"/>
    <s v="M"/>
    <s v="H"/>
    <s v="Fanny Bay/ JNST Seapen"/>
    <x v="0"/>
    <m/>
    <m/>
    <x v="0"/>
    <s v="181352"/>
    <n v="1996"/>
    <s v="19960624"/>
    <s v="19960624"/>
    <n v="7"/>
    <s v="B"/>
    <s v="N"/>
    <s v="SEE ALSO 181351 &amp; 181353"/>
    <n v="1"/>
    <s v="AD"/>
    <n v="26520"/>
    <n v="53"/>
    <m/>
    <n v="0"/>
    <n v="0"/>
    <n v="2122"/>
    <n v="28695"/>
  </r>
  <r>
    <s v="DPI"/>
    <x v="0"/>
    <x v="0"/>
    <x v="0"/>
    <x v="7"/>
    <x v="0"/>
    <s v="JNST"/>
    <s v="CK-28"/>
    <s v="SOUTHERN MAINLAND-SOUTHERN FJORDS_FA_0.x"/>
    <s v="M"/>
    <s v="H"/>
    <s v="Fanny Bay/ JNST Seapen"/>
    <x v="0"/>
    <m/>
    <m/>
    <x v="0"/>
    <s v="181353"/>
    <n v="1996"/>
    <s v="19960605"/>
    <s v="19960615"/>
    <n v="7"/>
    <s v="B"/>
    <s v="N"/>
    <s v="SEE ALSO 181351 &amp; 181352"/>
    <n v="1"/>
    <s v="AD"/>
    <n v="16436"/>
    <n v="83"/>
    <m/>
    <n v="0"/>
    <n v="0"/>
    <n v="31203"/>
    <n v="47722"/>
  </r>
  <r>
    <s v="DPI"/>
    <x v="0"/>
    <x v="0"/>
    <x v="0"/>
    <x v="8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NOCN9786"/>
    <n v="1998"/>
    <s v="199805"/>
    <s v="199805"/>
    <n v="5"/>
    <s v="P"/>
    <s v="N"/>
    <m/>
    <n v="1"/>
    <m/>
    <n v="0"/>
    <n v="0"/>
    <m/>
    <n v="0"/>
    <n v="0"/>
    <n v="3000"/>
    <n v="3000"/>
  </r>
  <r>
    <s v="DPI"/>
    <x v="0"/>
    <x v="0"/>
    <x v="0"/>
    <x v="9"/>
    <x v="0"/>
    <s v="JNST"/>
    <s v="CK-28"/>
    <s v="SOUTHERN MAINLAND-SOUTHERN FJORDS_FA_0.x"/>
    <s v="M"/>
    <s v="H"/>
    <s v="Big Bay Seapen"/>
    <x v="3"/>
    <s v="CK-29"/>
    <s v="EAST VANCOUVER ISLAND-NORTH_FA_0.x"/>
    <x v="0"/>
    <s v="NOCN9869"/>
    <n v="1999"/>
    <s v="199905"/>
    <s v="199905"/>
    <n v="8.5"/>
    <s v="B"/>
    <s v="Y"/>
    <s v="SEAPEN RELEASE; WEIGHT RANGE 7-10 GRAMS."/>
    <n v="1"/>
    <m/>
    <n v="0"/>
    <n v="0"/>
    <m/>
    <n v="0"/>
    <n v="0"/>
    <n v="100000"/>
    <n v="100000"/>
  </r>
  <r>
    <s v="DPI"/>
    <x v="0"/>
    <x v="0"/>
    <x v="0"/>
    <x v="10"/>
    <x v="0"/>
    <s v="JNST"/>
    <s v="CK-28"/>
    <s v="SOUTHERN MAINLAND-SOUTHERN FJORDS_FA_0.x"/>
    <s v="M"/>
    <s v="H"/>
    <s v="Fanny Bay/ JNST Seapen"/>
    <x v="0"/>
    <m/>
    <m/>
    <x v="0"/>
    <s v="NOCN9977"/>
    <n v="2000"/>
    <s v="20000701"/>
    <s v="20000701"/>
    <n v="7.5"/>
    <s v="B"/>
    <s v="N"/>
    <m/>
    <n v="1"/>
    <m/>
    <n v="0"/>
    <n v="0"/>
    <m/>
    <n v="0"/>
    <n v="0"/>
    <n v="35000"/>
    <n v="35000"/>
  </r>
  <r>
    <s v="DPI"/>
    <x v="0"/>
    <x v="0"/>
    <x v="0"/>
    <x v="11"/>
    <x v="0"/>
    <s v="JNST"/>
    <s v="CK-28"/>
    <s v="SOUTHERN MAINLAND-SOUTHERN FJORDS_FA_0.x"/>
    <s v="M"/>
    <s v="H"/>
    <s v="Fanny Bay/ JNST Seapen"/>
    <x v="0"/>
    <m/>
    <m/>
    <x v="0"/>
    <s v="181825"/>
    <n v="2001"/>
    <s v="20000701"/>
    <s v="20010701"/>
    <n v="5.5"/>
    <s v="B"/>
    <s v="N"/>
    <s v="SEAPEN RELEASE; ALSO SEE 182219; ESTIMATED NUMBERS, DATE &amp; WEIGHT"/>
    <n v="1"/>
    <s v="AD"/>
    <n v="19424"/>
    <n v="196"/>
    <m/>
    <n v="0"/>
    <n v="0"/>
    <n v="217"/>
    <n v="19837"/>
  </r>
  <r>
    <s v="DPI"/>
    <x v="0"/>
    <x v="0"/>
    <x v="0"/>
    <x v="11"/>
    <x v="0"/>
    <s v="JNST"/>
    <s v="CK-28"/>
    <s v="SOUTHERN MAINLAND-SOUTHERN FJORDS_FA_0.x"/>
    <s v="M"/>
    <s v="H"/>
    <s v="Fanny Bay/ JNST Seapen"/>
    <x v="0"/>
    <m/>
    <m/>
    <x v="0"/>
    <s v="182219"/>
    <n v="2001"/>
    <s v="20010701"/>
    <s v="20010701"/>
    <n v="5.5"/>
    <s v="B"/>
    <s v="N"/>
    <s v="SEAPEN RELEASE; ALSO SEE 181825; ESTIMATED NUMBERS, DATE &amp; WEIGHT"/>
    <n v="1"/>
    <s v="AD"/>
    <n v="25139"/>
    <n v="0"/>
    <m/>
    <n v="0"/>
    <n v="0"/>
    <n v="278"/>
    <n v="25417"/>
  </r>
  <r>
    <s v="DPI"/>
    <x v="0"/>
    <x v="0"/>
    <x v="0"/>
    <x v="12"/>
    <x v="0"/>
    <s v="JNST"/>
    <s v="CK-28"/>
    <s v="SOUTHERN MAINLAND-SOUTHERN FJORDS_FA_0.x"/>
    <s v="M"/>
    <s v="H"/>
    <s v="Fanny Bay/ JNST Seapen"/>
    <x v="0"/>
    <m/>
    <m/>
    <x v="0"/>
    <s v="185317"/>
    <n v="2002"/>
    <s v="20020629"/>
    <s v="20020629"/>
    <n v="5.5"/>
    <s v="B"/>
    <s v="N"/>
    <s v="REL AT SEAPEN SITE. ESTIMATED POST TAGGING MORTALITY."/>
    <n v="1"/>
    <s v="AD"/>
    <n v="40000"/>
    <n v="0"/>
    <m/>
    <n v="0"/>
    <n v="0"/>
    <n v="15000"/>
    <n v="55000"/>
  </r>
  <r>
    <s v="DPI"/>
    <x v="0"/>
    <x v="0"/>
    <x v="0"/>
    <x v="12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185316"/>
    <n v="2002"/>
    <s v="20020614"/>
    <s v="20020614"/>
    <n v="4"/>
    <s v="P"/>
    <s v="N"/>
    <s v="REL TO RIVER AT LAKE OUTFLOW. ESTIMATED POST TAGGING MORTALITY"/>
    <n v="1"/>
    <s v="AD"/>
    <n v="40000"/>
    <n v="0"/>
    <m/>
    <n v="0"/>
    <n v="0"/>
    <n v="15000"/>
    <n v="55000"/>
  </r>
  <r>
    <s v="DPI"/>
    <x v="0"/>
    <x v="0"/>
    <x v="0"/>
    <x v="13"/>
    <x v="0"/>
    <s v="JNST"/>
    <s v="CK-28"/>
    <s v="SOUTHERN MAINLAND-SOUTHERN FJORDS_FA_0.x"/>
    <s v="M"/>
    <s v="H"/>
    <s v="Fanny Bay/ JNST Seapen"/>
    <x v="0"/>
    <m/>
    <m/>
    <x v="0"/>
    <s v="185529"/>
    <n v="2003"/>
    <s v="20030729"/>
    <s v="20030729"/>
    <n v="4.5"/>
    <s v="B"/>
    <s v="N"/>
    <s v="SEE ALSO 181909 &amp; 181911 (RIVER RELEASE)."/>
    <n v="1"/>
    <s v="AD"/>
    <n v="40202"/>
    <n v="101"/>
    <m/>
    <n v="0"/>
    <n v="0"/>
    <n v="19798"/>
    <n v="60101"/>
  </r>
  <r>
    <s v="DPI"/>
    <x v="0"/>
    <x v="0"/>
    <x v="0"/>
    <x v="13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181909"/>
    <n v="2003"/>
    <s v="20030625"/>
    <s v="20030625"/>
    <n v="3.2"/>
    <s v="P"/>
    <s v="N"/>
    <s v="SEE ALSO 181911 AND COMPARE TO 185529 (FANNY BAY RELEASE)."/>
    <n v="1"/>
    <s v="AD"/>
    <n v="20253"/>
    <n v="0"/>
    <m/>
    <n v="0"/>
    <n v="0"/>
    <n v="9646"/>
    <n v="29899"/>
  </r>
  <r>
    <s v="DPI"/>
    <x v="0"/>
    <x v="0"/>
    <x v="0"/>
    <x v="13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181911"/>
    <n v="2003"/>
    <s v="20030625"/>
    <s v="20030625"/>
    <n v="3.2"/>
    <s v="P"/>
    <s v="N"/>
    <s v="SEE ALSO 181909 AND COMPARE TO 185529 (FANNY BAY SEAPEN RELEASE)."/>
    <n v="1"/>
    <s v="AD"/>
    <n v="20397"/>
    <n v="103"/>
    <m/>
    <n v="0"/>
    <n v="0"/>
    <n v="9704"/>
    <n v="30204"/>
  </r>
  <r>
    <s v="DPI"/>
    <x v="0"/>
    <x v="0"/>
    <x v="0"/>
    <x v="14"/>
    <x v="0"/>
    <s v="JNST"/>
    <s v="CK-28"/>
    <s v="SOUTHERN MAINLAND-SOUTHERN FJORDS_FA_0.x"/>
    <s v="M"/>
    <s v="H"/>
    <s v="Fanny Bay/ JNST Seapen"/>
    <x v="0"/>
    <m/>
    <m/>
    <x v="0"/>
    <s v="183719"/>
    <n v="2004"/>
    <s v="20040701"/>
    <s v="20040701"/>
    <n v="5.3"/>
    <s v="B"/>
    <s v="N"/>
    <s v="SEAPEN REARED. SEE ALSO 183720."/>
    <n v="1"/>
    <s v="AD"/>
    <n v="19922"/>
    <n v="100"/>
    <m/>
    <n v="0"/>
    <n v="0"/>
    <n v="2002"/>
    <n v="22024"/>
  </r>
  <r>
    <s v="DPI"/>
    <x v="0"/>
    <x v="0"/>
    <x v="0"/>
    <x v="14"/>
    <x v="0"/>
    <s v="JNST"/>
    <s v="CK-28"/>
    <s v="SOUTHERN MAINLAND-SOUTHERN FJORDS_FA_0.x"/>
    <s v="M"/>
    <s v="H"/>
    <s v="Fanny Bay/ JNST Seapen"/>
    <x v="0"/>
    <m/>
    <m/>
    <x v="0"/>
    <s v="183720"/>
    <n v="2004"/>
    <s v="20040701"/>
    <s v="20040701"/>
    <n v="5.3"/>
    <s v="B"/>
    <s v="N"/>
    <s v="SEAPEN RELEASE. SEE ALSO 183719."/>
    <n v="1"/>
    <s v="AD"/>
    <n v="19978"/>
    <n v="0"/>
    <m/>
    <n v="0"/>
    <n v="0"/>
    <n v="1998"/>
    <n v="21976"/>
  </r>
  <r>
    <s v="DPI"/>
    <x v="0"/>
    <x v="0"/>
    <x v="0"/>
    <x v="14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NOCN03133"/>
    <n v="2004"/>
    <s v="20040517"/>
    <s v="20040517"/>
    <n v="3.5"/>
    <s v="P"/>
    <s v="N"/>
    <s v="RIVER RELEASE. SEE 183719 &amp; 183720 FOR FANNY BAY SEAPEN RELEASE."/>
    <n v="1"/>
    <m/>
    <n v="0"/>
    <n v="0"/>
    <m/>
    <n v="0"/>
    <n v="0"/>
    <n v="44000"/>
    <n v="44000"/>
  </r>
  <r>
    <s v="DPI"/>
    <x v="0"/>
    <x v="0"/>
    <x v="0"/>
    <x v="15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NOCN0447"/>
    <n v="2005"/>
    <s v="200506"/>
    <s v="200506"/>
    <n v="3.5"/>
    <s v="P"/>
    <s v="N"/>
    <s v="LOW RETURN; NOT ENOUGH TO TAG."/>
    <n v="1"/>
    <m/>
    <n v="0"/>
    <n v="0"/>
    <m/>
    <n v="0"/>
    <n v="0"/>
    <n v="29700"/>
    <n v="29700"/>
  </r>
  <r>
    <s v="DPI"/>
    <x v="0"/>
    <x v="0"/>
    <x v="0"/>
    <x v="16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5919"/>
    <n v="2006"/>
    <s v="20060605"/>
    <s v="20060605"/>
    <n v="2.8"/>
    <s v="P"/>
    <s v="N"/>
    <m/>
    <n v="1"/>
    <s v="AD"/>
    <n v="40801"/>
    <n v="0"/>
    <m/>
    <n v="0"/>
    <n v="0"/>
    <n v="23200"/>
    <n v="64001"/>
  </r>
  <r>
    <s v="DPI"/>
    <x v="0"/>
    <x v="0"/>
    <x v="0"/>
    <x v="17"/>
    <x v="0"/>
    <s v="JNST"/>
    <s v="CK-28"/>
    <s v="SOUTHERN MAINLAND-SOUTHERN FJORDS_FA_0.x"/>
    <s v="M"/>
    <s v="H"/>
    <s v="Fanny Bay/ JNST Seapen"/>
    <x v="0"/>
    <m/>
    <m/>
    <x v="0"/>
    <s v="185929"/>
    <n v="2007"/>
    <s v="20070712"/>
    <s v="20070712"/>
    <n v="6"/>
    <s v="B"/>
    <s v="N"/>
    <m/>
    <n v="1"/>
    <s v="AD"/>
    <n v="42354"/>
    <n v="0"/>
    <m/>
    <n v="0"/>
    <n v="0"/>
    <n v="39864"/>
    <n v="82218"/>
  </r>
  <r>
    <s v="DPI"/>
    <x v="0"/>
    <x v="0"/>
    <x v="0"/>
    <x v="17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5928"/>
    <n v="2007"/>
    <s v="20070517"/>
    <s v="20070517"/>
    <n v="5"/>
    <s v="P"/>
    <s v="N"/>
    <m/>
    <n v="1"/>
    <s v="AD"/>
    <n v="40069"/>
    <n v="0"/>
    <m/>
    <n v="0"/>
    <n v="0"/>
    <n v="37713"/>
    <n v="77782"/>
  </r>
  <r>
    <s v="DPI"/>
    <x v="0"/>
    <x v="0"/>
    <x v="0"/>
    <x v="18"/>
    <x v="0"/>
    <s v="JNST"/>
    <s v="CK-28"/>
    <s v="SOUTHERN MAINLAND-SOUTHERN FJORDS_FA_0.x"/>
    <s v="M"/>
    <s v="H"/>
    <s v="Fanny Bay/ JNST Seapen"/>
    <x v="0"/>
    <m/>
    <m/>
    <x v="0"/>
    <s v="185932"/>
    <n v="2008"/>
    <s v="20080609"/>
    <s v="20080609"/>
    <n v="4.3499999999999996"/>
    <s v="B"/>
    <s v="N"/>
    <s v="ESTIMATED SAMPLE SIZE &amp; LOSS DAYS."/>
    <n v="1"/>
    <s v="AD"/>
    <n v="42523"/>
    <n v="0"/>
    <m/>
    <n v="0"/>
    <n v="0"/>
    <n v="26477"/>
    <n v="69000"/>
  </r>
  <r>
    <s v="DPI"/>
    <x v="0"/>
    <x v="0"/>
    <x v="0"/>
    <x v="18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5933"/>
    <n v="2008"/>
    <s v="20080525"/>
    <s v="20080610"/>
    <n v="4.32"/>
    <s v="P"/>
    <s v="N"/>
    <s v="ESTIMATED SAMPLE SIZE &amp; LOSS DAYS."/>
    <n v="1"/>
    <s v="AD"/>
    <n v="41430"/>
    <n v="0"/>
    <m/>
    <n v="0"/>
    <n v="0"/>
    <n v="87570"/>
    <n v="129000"/>
  </r>
  <r>
    <s v="DPI"/>
    <x v="0"/>
    <x v="0"/>
    <x v="0"/>
    <x v="19"/>
    <x v="0"/>
    <s v="JNST"/>
    <s v="CK-28"/>
    <s v="SOUTHERN MAINLAND-SOUTHERN FJORDS_FA_0.x"/>
    <s v="M"/>
    <s v="H"/>
    <s v="Fanny Bay/ JNST Seapen"/>
    <x v="0"/>
    <m/>
    <m/>
    <x v="0"/>
    <s v="NOCN0802"/>
    <n v="2009"/>
    <s v="20090528"/>
    <s v="20090528"/>
    <n v="5.54"/>
    <s v="B"/>
    <s v="N"/>
    <s v="SEAPEN RELEASE"/>
    <n v="1"/>
    <m/>
    <n v="0"/>
    <n v="0"/>
    <m/>
    <n v="0"/>
    <n v="0"/>
    <n v="37684"/>
    <n v="37684"/>
  </r>
  <r>
    <s v="DPI"/>
    <x v="0"/>
    <x v="0"/>
    <x v="0"/>
    <x v="19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NOCN0803"/>
    <n v="2009"/>
    <s v="20090523"/>
    <s v="20090530"/>
    <n v="4.5"/>
    <s v="P"/>
    <s v="N"/>
    <m/>
    <n v="1"/>
    <m/>
    <n v="0"/>
    <n v="0"/>
    <m/>
    <n v="0"/>
    <n v="0"/>
    <n v="102527"/>
    <n v="102527"/>
  </r>
  <r>
    <s v="DPI"/>
    <x v="0"/>
    <x v="0"/>
    <x v="0"/>
    <x v="20"/>
    <x v="0"/>
    <s v="JNST"/>
    <s v="CK-28"/>
    <s v="SOUTHERN MAINLAND-SOUTHERN FJORDS_FA_0.x"/>
    <s v="M"/>
    <s v="H"/>
    <s v="Fanny Bay/ JNST Seapen"/>
    <x v="0"/>
    <m/>
    <m/>
    <x v="3"/>
    <s v="180680"/>
    <n v="2011"/>
    <s v="20110424"/>
    <s v="20110424"/>
    <n v="11.8"/>
    <s v="B"/>
    <s v="N"/>
    <m/>
    <n v="1"/>
    <s v="AD"/>
    <n v="23367"/>
    <n v="2"/>
    <m/>
    <n v="0"/>
    <n v="0"/>
    <n v="32"/>
    <n v="23401"/>
  </r>
  <r>
    <s v="DPI"/>
    <x v="0"/>
    <x v="0"/>
    <x v="0"/>
    <x v="20"/>
    <x v="0"/>
    <s v="JNST"/>
    <s v="CK-28"/>
    <s v="SOUTHERN MAINLAND-SOUTHERN FJORDS_FA_0.x"/>
    <s v="M"/>
    <s v="H"/>
    <s v="Fanny Bay/ JNST Seapen"/>
    <x v="0"/>
    <m/>
    <m/>
    <x v="0"/>
    <s v="NOCN0967"/>
    <n v="2010"/>
    <s v="20100525"/>
    <s v="20100525"/>
    <n v="6.5"/>
    <s v="B"/>
    <s v="N"/>
    <s v="Moved to seapens at 5.84g and lake pens at 5.56g on May 18 then released May 25"/>
    <n v="1"/>
    <m/>
    <n v="0"/>
    <n v="0"/>
    <m/>
    <n v="0"/>
    <n v="0"/>
    <n v="57815"/>
    <n v="57815"/>
  </r>
  <r>
    <s v="DPI"/>
    <x v="0"/>
    <x v="0"/>
    <x v="0"/>
    <x v="20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0679"/>
    <n v="2011"/>
    <s v="20110424"/>
    <s v="20110424"/>
    <n v="11.1"/>
    <s v="B"/>
    <s v="N"/>
    <m/>
    <n v="1"/>
    <s v="AD"/>
    <n v="23895"/>
    <n v="2"/>
    <m/>
    <n v="0"/>
    <n v="0"/>
    <n v="28"/>
    <n v="23925"/>
  </r>
  <r>
    <s v="DPI"/>
    <x v="0"/>
    <x v="0"/>
    <x v="0"/>
    <x v="20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NOCN0987"/>
    <n v="2010"/>
    <s v="20100525"/>
    <s v="20100525"/>
    <n v="6.5"/>
    <s v="P"/>
    <s v="N"/>
    <s v="Moved to seapens at 5.84g and lake pens at 5.56g on May 18 then released May 25"/>
    <n v="1"/>
    <m/>
    <n v="0"/>
    <n v="0"/>
    <m/>
    <n v="0"/>
    <n v="0"/>
    <n v="66785"/>
    <n v="66785"/>
  </r>
  <r>
    <s v="DPI"/>
    <x v="0"/>
    <x v="0"/>
    <x v="0"/>
    <x v="21"/>
    <x v="0"/>
    <s v="JNST"/>
    <s v="CK-28"/>
    <s v="SOUTHERN MAINLAND-SOUTHERN FJORDS_FA_0.x"/>
    <s v="M"/>
    <s v="H"/>
    <s v="Fanny Bay/ JNST Seapen"/>
    <x v="0"/>
    <m/>
    <m/>
    <x v="0"/>
    <s v="181879"/>
    <n v="2011"/>
    <s v="20110603"/>
    <s v="20110603"/>
    <n v="6.2"/>
    <s v="B"/>
    <s v="N"/>
    <s v="Assume 1% tag loss rate."/>
    <n v="1"/>
    <s v="AD"/>
    <n v="49705"/>
    <n v="502"/>
    <m/>
    <n v="0"/>
    <n v="0"/>
    <n v="18761"/>
    <n v="68968"/>
  </r>
  <r>
    <s v="DPI"/>
    <x v="0"/>
    <x v="0"/>
    <x v="0"/>
    <x v="21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1878"/>
    <n v="2012"/>
    <s v="201205"/>
    <s v="201205"/>
    <n v="20.440000000000001"/>
    <s v="B"/>
    <s v="N"/>
    <m/>
    <n v="1"/>
    <s v="AD"/>
    <n v="39300"/>
    <n v="0"/>
    <m/>
    <n v="0"/>
    <n v="0"/>
    <m/>
    <n v="39300"/>
  </r>
  <r>
    <s v="DPI"/>
    <x v="0"/>
    <x v="0"/>
    <x v="0"/>
    <x v="21"/>
    <x v="0"/>
    <s v="JNST"/>
    <s v="CK-28"/>
    <s v="SOUTHERN MAINLAND-SOUTHERN FJORDS_FA_0.x"/>
    <s v="M"/>
    <s v="H"/>
    <s v="Phillips River H"/>
    <x v="2"/>
    <s v="CK-28"/>
    <s v="SOUTHERN MAINLAND-SOUTHERN FJORDS_FA_0.x"/>
    <x v="1"/>
    <s v="181880"/>
    <n v="2011"/>
    <s v="20110603"/>
    <s v="20110603"/>
    <n v="4.0999999999999996"/>
    <s v="P"/>
    <s v="N"/>
    <s v="Assume 1% tag loss rate."/>
    <n v="1"/>
    <s v="AD"/>
    <n v="49774"/>
    <n v="503"/>
    <m/>
    <n v="0"/>
    <n v="0"/>
    <n v="17309"/>
    <n v="67586"/>
  </r>
  <r>
    <s v="DPI"/>
    <x v="0"/>
    <x v="0"/>
    <x v="0"/>
    <x v="22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1372"/>
    <n v="2012"/>
    <s v="20120603"/>
    <s v="20120603"/>
    <n v="4"/>
    <s v="P"/>
    <s v="N"/>
    <m/>
    <n v="1"/>
    <s v="AD"/>
    <n v="46326"/>
    <n v="0"/>
    <m/>
    <n v="0"/>
    <n v="0"/>
    <n v="4958"/>
    <n v="51284"/>
  </r>
  <r>
    <s v="DPI"/>
    <x v="0"/>
    <x v="0"/>
    <x v="0"/>
    <x v="22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1373"/>
    <n v="2012"/>
    <s v="20120603"/>
    <s v="20120603"/>
    <n v="4"/>
    <s v="P"/>
    <s v="N"/>
    <m/>
    <n v="1"/>
    <s v="AD"/>
    <n v="34778"/>
    <n v="0"/>
    <m/>
    <n v="0"/>
    <n v="0"/>
    <n v="3722"/>
    <n v="38500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0770"/>
    <n v="2014"/>
    <s v="20140428"/>
    <s v="20140428"/>
    <n v="20"/>
    <s v="E"/>
    <s v="N"/>
    <m/>
    <n v="1"/>
    <s v="AD"/>
    <n v="3824"/>
    <n v="0"/>
    <m/>
    <n v="0"/>
    <n v="0"/>
    <m/>
    <n v="3824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0771"/>
    <n v="2014"/>
    <s v="20140428"/>
    <s v="20140428"/>
    <n v="20"/>
    <s v="E"/>
    <s v="N"/>
    <m/>
    <n v="1"/>
    <s v="AD"/>
    <n v="4655"/>
    <n v="0"/>
    <m/>
    <n v="0"/>
    <n v="0"/>
    <m/>
    <n v="4655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083"/>
    <n v="2013"/>
    <s v="20130519"/>
    <s v="20130519"/>
    <n v="5.66"/>
    <s v="P"/>
    <s v="N"/>
    <m/>
    <n v="1"/>
    <s v="AD"/>
    <n v="58292"/>
    <n v="0"/>
    <m/>
    <n v="0"/>
    <n v="0"/>
    <n v="6269"/>
    <n v="64561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084"/>
    <n v="2013"/>
    <s v="20130519"/>
    <s v="20130519"/>
    <n v="5.66"/>
    <s v="P"/>
    <s v="N"/>
    <m/>
    <n v="1"/>
    <s v="AD"/>
    <n v="40044"/>
    <n v="0"/>
    <m/>
    <n v="0"/>
    <n v="0"/>
    <n v="4306"/>
    <n v="44350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085"/>
    <n v="2013"/>
    <s v="20130519"/>
    <s v="20130519"/>
    <n v="5.66"/>
    <s v="P"/>
    <s v="N"/>
    <m/>
    <n v="1"/>
    <s v="AD"/>
    <n v="55671"/>
    <n v="704"/>
    <m/>
    <n v="0"/>
    <n v="0"/>
    <n v="5987"/>
    <n v="62362"/>
  </r>
  <r>
    <s v="DPI"/>
    <x v="0"/>
    <x v="0"/>
    <x v="0"/>
    <x v="23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2876"/>
    <n v="2014"/>
    <s v="20140428"/>
    <s v="20140428"/>
    <n v="20"/>
    <s v="E"/>
    <s v="N"/>
    <m/>
    <n v="1"/>
    <s v="AD"/>
    <n v="40550"/>
    <n v="0"/>
    <m/>
    <n v="0"/>
    <n v="0"/>
    <m/>
    <n v="40550"/>
  </r>
  <r>
    <s v="DPI"/>
    <x v="0"/>
    <x v="0"/>
    <x v="0"/>
    <x v="24"/>
    <x v="0"/>
    <s v="JNST"/>
    <s v="CK-28"/>
    <s v="SOUTHERN MAINLAND-SOUTHERN FJORDS_FA_0.x"/>
    <s v="M"/>
    <s v="H"/>
    <s v="Phillips River H"/>
    <x v="4"/>
    <s v="CK-28"/>
    <s v="SOUTHERN MAINLAND-SOUTHERN FJORDS_FA_0.x"/>
    <x v="4"/>
    <s v="182580"/>
    <n v="2015"/>
    <s v="20150423"/>
    <s v="20150423"/>
    <m/>
    <s v="P"/>
    <s v="N"/>
    <m/>
    <n v="1"/>
    <s v="AD"/>
    <n v="35713"/>
    <n v="0"/>
    <m/>
    <n v="0"/>
    <n v="0"/>
    <n v="254"/>
    <n v="35967"/>
  </r>
  <r>
    <s v="DPI"/>
    <x v="0"/>
    <x v="0"/>
    <x v="0"/>
    <x v="24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786"/>
    <n v="2014"/>
    <s v="20140521"/>
    <s v="20140604"/>
    <n v="4.5"/>
    <s v="P"/>
    <s v="N"/>
    <m/>
    <n v="1"/>
    <s v="AD"/>
    <n v="57264"/>
    <n v="288"/>
    <m/>
    <n v="0"/>
    <n v="0"/>
    <n v="5969"/>
    <n v="63521"/>
  </r>
  <r>
    <s v="DPI"/>
    <x v="0"/>
    <x v="0"/>
    <x v="0"/>
    <x v="24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787"/>
    <n v="2014"/>
    <s v="20140521"/>
    <s v="20140604"/>
    <n v="4.5"/>
    <s v="P"/>
    <s v="N"/>
    <m/>
    <n v="1"/>
    <s v="AD"/>
    <n v="57568"/>
    <n v="0"/>
    <m/>
    <n v="0"/>
    <n v="0"/>
    <n v="5971"/>
    <n v="63539"/>
  </r>
  <r>
    <s v="DPI"/>
    <x v="0"/>
    <x v="0"/>
    <x v="0"/>
    <x v="24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2965"/>
    <n v="2014"/>
    <s v="20140521"/>
    <s v="20140604"/>
    <n v="4.5"/>
    <s v="P"/>
    <s v="N"/>
    <m/>
    <n v="1"/>
    <s v="AD"/>
    <n v="29175"/>
    <n v="73"/>
    <m/>
    <n v="0"/>
    <n v="0"/>
    <n v="3033"/>
    <n v="32281"/>
  </r>
  <r>
    <s v="DPI"/>
    <x v="0"/>
    <x v="0"/>
    <x v="0"/>
    <x v="25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3379"/>
    <n v="2015"/>
    <s v="20150508"/>
    <s v="20150508"/>
    <n v="4.1500000000000004"/>
    <s v="P"/>
    <s v="N"/>
    <m/>
    <n v="1"/>
    <s v="AD"/>
    <n v="10530"/>
    <n v="0"/>
    <m/>
    <n v="0"/>
    <n v="0"/>
    <m/>
    <n v="10530"/>
  </r>
  <r>
    <s v="DPI"/>
    <x v="0"/>
    <x v="0"/>
    <x v="0"/>
    <x v="25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3380"/>
    <n v="2015"/>
    <s v="20150508"/>
    <s v="20150508"/>
    <n v="4.1500000000000004"/>
    <s v="P"/>
    <s v="N"/>
    <m/>
    <n v="1"/>
    <s v="AD"/>
    <n v="27059"/>
    <n v="273"/>
    <m/>
    <n v="0"/>
    <n v="0"/>
    <m/>
    <n v="27332"/>
  </r>
  <r>
    <s v="DPI"/>
    <x v="0"/>
    <x v="0"/>
    <x v="0"/>
    <x v="25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3467"/>
    <n v="2015"/>
    <s v="20150508"/>
    <s v="20150508"/>
    <n v="4.1500000000000004"/>
    <s v="P"/>
    <s v="N"/>
    <m/>
    <n v="1"/>
    <s v="AD"/>
    <n v="58903"/>
    <n v="0"/>
    <m/>
    <n v="0"/>
    <n v="0"/>
    <m/>
    <n v="58903"/>
  </r>
  <r>
    <s v="DPI"/>
    <x v="0"/>
    <x v="0"/>
    <x v="0"/>
    <x v="25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3468"/>
    <n v="2015"/>
    <s v="20150508"/>
    <s v="20150508"/>
    <n v="4.1500000000000004"/>
    <s v="P"/>
    <s v="N"/>
    <m/>
    <n v="1"/>
    <s v="AD"/>
    <n v="57730"/>
    <n v="436"/>
    <m/>
    <n v="0"/>
    <n v="0"/>
    <m/>
    <n v="58166"/>
  </r>
  <r>
    <s v="DPI"/>
    <x v="0"/>
    <x v="0"/>
    <x v="0"/>
    <x v="25"/>
    <x v="0"/>
    <s v="JNST"/>
    <s v="CK-28"/>
    <s v="SOUTHERN MAINLAND-SOUTHERN FJORDS_FA_0.x"/>
    <s v="M"/>
    <s v="H"/>
    <s v="Phillips River H"/>
    <x v="4"/>
    <s v="CK-28"/>
    <s v="SOUTHERN MAINLAND-SOUTHERN FJORDS_FA_0.x"/>
    <x v="2"/>
    <s v="NOCN1406"/>
    <n v="2015"/>
    <s v="20150320"/>
    <s v="20150320"/>
    <n v="1.44"/>
    <s v="B"/>
    <s v="N"/>
    <s v="Helicopter release of surplus fry because of water shortage."/>
    <n v="1"/>
    <m/>
    <n v="0"/>
    <n v="0"/>
    <m/>
    <n v="0"/>
    <n v="0"/>
    <n v="15000"/>
    <n v="15000"/>
  </r>
  <r>
    <s v="DPI"/>
    <x v="0"/>
    <x v="0"/>
    <x v="0"/>
    <x v="26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198"/>
    <n v="2016"/>
    <s v="20160503"/>
    <s v="20160506"/>
    <n v="5"/>
    <s v="P"/>
    <s v="N"/>
    <m/>
    <n v="1"/>
    <s v="AD"/>
    <n v="59527"/>
    <n v="0"/>
    <m/>
    <n v="0"/>
    <n v="0"/>
    <n v="4465"/>
    <n v="63992"/>
  </r>
  <r>
    <s v="DPI"/>
    <x v="0"/>
    <x v="0"/>
    <x v="0"/>
    <x v="26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199"/>
    <n v="2016"/>
    <s v="20160503"/>
    <s v="20160506"/>
    <n v="5"/>
    <s v="P"/>
    <s v="N"/>
    <m/>
    <n v="1"/>
    <s v="AD"/>
    <n v="58506"/>
    <n v="0"/>
    <m/>
    <n v="0"/>
    <n v="0"/>
    <n v="4389"/>
    <n v="62895"/>
  </r>
  <r>
    <s v="DPI"/>
    <x v="0"/>
    <x v="0"/>
    <x v="0"/>
    <x v="26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264"/>
    <n v="2016"/>
    <s v="20160503"/>
    <s v="20160506"/>
    <n v="5"/>
    <s v="P"/>
    <s v="N"/>
    <m/>
    <n v="1"/>
    <s v="AD"/>
    <n v="36043"/>
    <n v="0"/>
    <m/>
    <n v="0"/>
    <n v="0"/>
    <n v="2704"/>
    <n v="38747"/>
  </r>
  <r>
    <s v="DPI"/>
    <x v="0"/>
    <x v="0"/>
    <x v="0"/>
    <x v="27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594"/>
    <n v="2017"/>
    <s v="20170610"/>
    <s v="20170610"/>
    <n v="4.5"/>
    <s v="P"/>
    <s v="N"/>
    <m/>
    <n v="1"/>
    <s v="AD"/>
    <n v="47253"/>
    <n v="237"/>
    <m/>
    <n v="0"/>
    <n v="0"/>
    <n v="794"/>
    <n v="48284"/>
  </r>
  <r>
    <s v="DPI"/>
    <x v="0"/>
    <x v="0"/>
    <x v="0"/>
    <x v="27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595"/>
    <n v="2017"/>
    <s v="20170610"/>
    <s v="20170610"/>
    <n v="4.5"/>
    <s v="P"/>
    <s v="N"/>
    <m/>
    <n v="1"/>
    <s v="AD"/>
    <n v="43925"/>
    <n v="220"/>
    <m/>
    <n v="0"/>
    <n v="0"/>
    <n v="737"/>
    <n v="44882"/>
  </r>
  <r>
    <s v="DPI"/>
    <x v="0"/>
    <x v="0"/>
    <x v="0"/>
    <x v="28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3992"/>
    <n v="2018"/>
    <s v="20180523"/>
    <s v="20180523"/>
    <n v="4.5"/>
    <s v="P"/>
    <s v="N"/>
    <m/>
    <n v="1"/>
    <s v="AD"/>
    <n v="37599"/>
    <n v="189"/>
    <m/>
    <n v="0"/>
    <n v="0"/>
    <n v="1173"/>
    <n v="38961"/>
  </r>
  <r>
    <s v="DPI"/>
    <x v="0"/>
    <x v="0"/>
    <x v="0"/>
    <x v="28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765"/>
    <n v="2018"/>
    <s v="20180523"/>
    <s v="20180523"/>
    <n v="4.5"/>
    <s v="P"/>
    <s v="N"/>
    <m/>
    <n v="1"/>
    <s v="AD"/>
    <n v="59676"/>
    <n v="450"/>
    <m/>
    <n v="0"/>
    <n v="0"/>
    <n v="1865"/>
    <n v="61991"/>
  </r>
  <r>
    <s v="DPI"/>
    <x v="0"/>
    <x v="0"/>
    <x v="0"/>
    <x v="29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0595"/>
    <n v="2019"/>
    <s v="20190501"/>
    <s v="20190501"/>
    <n v="4.5"/>
    <s v="P"/>
    <s v="N"/>
    <m/>
    <n v="1"/>
    <s v="AD"/>
    <n v="3454"/>
    <n v="0"/>
    <s v="AD"/>
    <n v="270"/>
    <n v="0"/>
    <m/>
    <n v="3724"/>
  </r>
  <r>
    <s v="DPI"/>
    <x v="0"/>
    <x v="0"/>
    <x v="0"/>
    <x v="29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4280"/>
    <n v="2019"/>
    <s v="20190501"/>
    <s v="20190501"/>
    <n v="4.5"/>
    <s v="P"/>
    <s v="N"/>
    <m/>
    <n v="1"/>
    <s v="AD"/>
    <n v="29531"/>
    <n v="148"/>
    <s v="AD"/>
    <n v="2317"/>
    <n v="0"/>
    <m/>
    <n v="31996"/>
  </r>
  <r>
    <s v="DPI"/>
    <x v="0"/>
    <x v="0"/>
    <x v="0"/>
    <x v="29"/>
    <x v="0"/>
    <s v="JNST"/>
    <s v="CK-28"/>
    <s v="SOUTHERN MAINLAND-SOUTHERN FJORDS_FA_0.x"/>
    <s v="M"/>
    <s v="H"/>
    <s v="Phillips River H"/>
    <x v="4"/>
    <s v="CK-28"/>
    <s v="SOUTHERN MAINLAND-SOUTHERN FJORDS_FA_0.x"/>
    <x v="1"/>
    <s v="185195"/>
    <n v="2019"/>
    <s v="20190501"/>
    <s v="20190501"/>
    <n v="4.5"/>
    <s v="P"/>
    <s v="N"/>
    <m/>
    <n v="1"/>
    <s v="AD"/>
    <n v="59218"/>
    <n v="148"/>
    <s v="AD"/>
    <n v="4634"/>
    <n v="0"/>
    <m/>
    <n v="64000"/>
  </r>
  <r>
    <s v="DPI"/>
    <x v="0"/>
    <x v="0"/>
    <x v="0"/>
    <x v="30"/>
    <x v="0"/>
    <s v="JNST"/>
    <s v="CK-28"/>
    <s v="SOUTHERN MAINLAND-SOUTHERN FJORDS_FA_0.x"/>
    <s v="M"/>
    <s v="H"/>
    <s v="Phillips River H"/>
    <x v="4"/>
    <s v="CK-28"/>
    <s v="SOUTHERN MAINLAND-SOUTHERN FJORDS_FA_0.x"/>
    <x v="2"/>
    <s v="186480"/>
    <n v="2020"/>
    <s v="20200508"/>
    <s v="20200508"/>
    <n v="3.5"/>
    <s v="P"/>
    <s v="N"/>
    <m/>
    <n v="1"/>
    <s v="AD"/>
    <n v="50396"/>
    <n v="134"/>
    <m/>
    <n v="0"/>
    <n v="0"/>
    <m/>
    <n v="50530"/>
  </r>
  <r>
    <s v="DPI"/>
    <x v="0"/>
    <x v="0"/>
    <x v="0"/>
    <x v="30"/>
    <x v="0"/>
    <s v="JNST"/>
    <s v="CK-28"/>
    <s v="SOUTHERN MAINLAND-SOUTHERN FJORDS_FA_0.x"/>
    <s v="M"/>
    <s v="H"/>
    <s v="Phillips River H"/>
    <x v="4"/>
    <s v="CK-28"/>
    <s v="SOUTHERN MAINLAND-SOUTHERN FJORDS_FA_0.x"/>
    <x v="2"/>
    <s v="186481"/>
    <n v="2020"/>
    <s v="20200508"/>
    <s v="20200508"/>
    <n v="3.5"/>
    <s v="P"/>
    <s v="N"/>
    <m/>
    <n v="1"/>
    <s v="AD"/>
    <n v="32553"/>
    <n v="0"/>
    <m/>
    <n v="0"/>
    <n v="0"/>
    <m/>
    <n v="325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3482D-99AB-4C5C-BC72-924B6E914BE7}" name="RelPivot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4" indent="0" outline="1" outlineData="1" multipleFieldFilters="0">
  <location ref="A4:B79" firstHeaderRow="1" firstDataRow="3" firstDataCol="1" rowPageCount="2" colPageCount="1"/>
  <pivotFields count="33">
    <pivotField showAll="0"/>
    <pivotField axis="axisPage" showAll="0">
      <items count="2">
        <item x="0"/>
        <item t="default"/>
      </items>
    </pivotField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axis="axisPage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5"/>
    <field x="4"/>
    <field x="12"/>
  </rowFields>
  <rowItems count="73">
    <i>
      <x/>
    </i>
    <i r="1">
      <x/>
    </i>
    <i r="2">
      <x v="1"/>
    </i>
    <i r="2">
      <x v="4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1"/>
    </i>
    <i r="1">
      <x v="5"/>
    </i>
    <i r="2">
      <x v="1"/>
    </i>
    <i r="1">
      <x v="6"/>
    </i>
    <i r="2">
      <x v="1"/>
    </i>
    <i r="1">
      <x v="7"/>
    </i>
    <i r="2">
      <x v="1"/>
    </i>
    <i r="1">
      <x v="8"/>
    </i>
    <i r="2">
      <x v="3"/>
    </i>
    <i r="1">
      <x v="9"/>
    </i>
    <i r="2">
      <x/>
    </i>
    <i r="1">
      <x v="10"/>
    </i>
    <i r="2">
      <x v="1"/>
    </i>
    <i r="1">
      <x v="11"/>
    </i>
    <i r="2">
      <x v="1"/>
    </i>
    <i r="1">
      <x v="12"/>
    </i>
    <i r="2">
      <x v="1"/>
    </i>
    <i r="2">
      <x v="3"/>
    </i>
    <i r="1">
      <x v="13"/>
    </i>
    <i r="2">
      <x v="1"/>
    </i>
    <i r="2">
      <x v="3"/>
    </i>
    <i r="1">
      <x v="14"/>
    </i>
    <i r="2">
      <x v="1"/>
    </i>
    <i r="2">
      <x v="3"/>
    </i>
    <i r="1">
      <x v="15"/>
    </i>
    <i r="2">
      <x v="3"/>
    </i>
    <i r="1">
      <x v="16"/>
    </i>
    <i r="2">
      <x v="2"/>
    </i>
    <i r="1">
      <x v="17"/>
    </i>
    <i r="2">
      <x v="1"/>
    </i>
    <i r="2">
      <x v="2"/>
    </i>
    <i r="1">
      <x v="18"/>
    </i>
    <i r="2">
      <x v="1"/>
    </i>
    <i r="2">
      <x v="2"/>
    </i>
    <i r="1">
      <x v="19"/>
    </i>
    <i r="2">
      <x v="1"/>
    </i>
    <i r="2">
      <x v="2"/>
    </i>
    <i r="1">
      <x v="20"/>
    </i>
    <i r="2">
      <x v="1"/>
    </i>
    <i r="2">
      <x v="2"/>
    </i>
    <i r="1">
      <x v="21"/>
    </i>
    <i r="2">
      <x v="1"/>
    </i>
    <i r="2">
      <x v="2"/>
    </i>
    <i r="2">
      <x v="3"/>
    </i>
    <i r="1">
      <x v="22"/>
    </i>
    <i r="2">
      <x v="2"/>
    </i>
    <i r="1">
      <x v="23"/>
    </i>
    <i r="2">
      <x v="2"/>
    </i>
    <i r="1">
      <x v="24"/>
    </i>
    <i r="2">
      <x v="2"/>
    </i>
    <i r="1">
      <x v="25"/>
    </i>
    <i r="2">
      <x v="2"/>
    </i>
    <i r="1">
      <x v="26"/>
    </i>
    <i r="2">
      <x v="2"/>
    </i>
    <i r="1">
      <x v="27"/>
    </i>
    <i r="2">
      <x v="2"/>
    </i>
    <i r="1">
      <x v="28"/>
    </i>
    <i r="2">
      <x v="2"/>
    </i>
    <i r="1">
      <x v="29"/>
    </i>
    <i r="2">
      <x v="2"/>
    </i>
    <i r="1">
      <x v="30"/>
    </i>
    <i r="2">
      <x v="2"/>
    </i>
  </rowItems>
  <colFields count="2">
    <field x="2"/>
    <field x="3"/>
  </colFields>
  <colItems count="1">
    <i>
      <x/>
      <x/>
    </i>
  </colItems>
  <pageFields count="2">
    <pageField fld="15" hier="-1"/>
    <pageField fld="1" hier="-1"/>
  </pageFields>
  <dataFields count="1">
    <dataField name="Total Release" fld="32" baseField="0" baseItem="0" numFmtId="3"/>
  </dataFields>
  <formats count="3"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2">
          <reference field="2" count="0" selected="0"/>
          <reference field="3" count="0"/>
        </references>
      </pivotArea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7F9D-C7DC-4C0D-A407-B815B775E47E}">
  <sheetPr>
    <tabColor rgb="FFFF0000"/>
    <pageSetUpPr fitToPage="1"/>
  </sheetPr>
  <dimension ref="A1:B19"/>
  <sheetViews>
    <sheetView workbookViewId="0">
      <selection sqref="A1:B19"/>
    </sheetView>
  </sheetViews>
  <sheetFormatPr defaultRowHeight="15" x14ac:dyDescent="0.25"/>
  <cols>
    <col min="1" max="1" width="19.85546875" customWidth="1"/>
    <col min="2" max="2" width="100.7109375" customWidth="1"/>
  </cols>
  <sheetData>
    <row r="1" spans="1:2" ht="30" x14ac:dyDescent="0.25">
      <c r="A1" s="1"/>
      <c r="B1" s="2" t="s">
        <v>0</v>
      </c>
    </row>
    <row r="2" spans="1:2" ht="60" x14ac:dyDescent="0.25">
      <c r="A2" s="3"/>
      <c r="B2" s="3" t="s">
        <v>1</v>
      </c>
    </row>
    <row r="3" spans="1:2" x14ac:dyDescent="0.25">
      <c r="A3" s="3"/>
      <c r="B3" s="3"/>
    </row>
    <row r="4" spans="1:2" ht="30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ht="30" x14ac:dyDescent="0.25">
      <c r="A11" s="3" t="s">
        <v>16</v>
      </c>
      <c r="B11" s="3" t="s">
        <v>17</v>
      </c>
    </row>
    <row r="12" spans="1:2" ht="30" x14ac:dyDescent="0.25">
      <c r="A12" s="3" t="s">
        <v>18</v>
      </c>
      <c r="B12" s="3" t="s">
        <v>19</v>
      </c>
    </row>
    <row r="13" spans="1:2" x14ac:dyDescent="0.25">
      <c r="A13" s="3"/>
      <c r="B13" s="3"/>
    </row>
    <row r="14" spans="1:2" ht="30" x14ac:dyDescent="0.25">
      <c r="A14" s="3" t="s">
        <v>20</v>
      </c>
      <c r="B14" s="3" t="s">
        <v>21</v>
      </c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</sheetData>
  <printOptions gridLines="1"/>
  <pageMargins left="0.75" right="0.75" top="0.75" bottom="0.75" header="0.3" footer="0.3"/>
  <pageSetup fitToHeight="100"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84D5-2A35-43C7-9882-0100A1D7F26D}">
  <dimension ref="A1:AG7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3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2</v>
      </c>
      <c r="Z1" s="4" t="s">
        <v>4</v>
      </c>
      <c r="AA1" s="4" t="s">
        <v>6</v>
      </c>
      <c r="AB1" s="4" t="s">
        <v>8</v>
      </c>
      <c r="AC1" s="4" t="s">
        <v>10</v>
      </c>
      <c r="AD1" s="4" t="s">
        <v>12</v>
      </c>
      <c r="AE1" s="4" t="s">
        <v>14</v>
      </c>
      <c r="AF1" s="4" t="s">
        <v>46</v>
      </c>
      <c r="AG1" s="4" t="s">
        <v>18</v>
      </c>
    </row>
    <row r="2" spans="1:33" x14ac:dyDescent="0.25">
      <c r="A2" t="s">
        <v>47</v>
      </c>
      <c r="B2" t="s">
        <v>48</v>
      </c>
      <c r="C2" t="s">
        <v>49</v>
      </c>
      <c r="D2" t="s">
        <v>50</v>
      </c>
      <c r="E2">
        <v>1988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P2" t="s">
        <v>59</v>
      </c>
      <c r="Q2" t="s">
        <v>60</v>
      </c>
      <c r="R2">
        <v>1989</v>
      </c>
      <c r="S2" t="s">
        <v>61</v>
      </c>
      <c r="T2" t="s">
        <v>61</v>
      </c>
      <c r="U2">
        <v>9</v>
      </c>
      <c r="V2" t="s">
        <v>62</v>
      </c>
      <c r="W2" t="s">
        <v>63</v>
      </c>
      <c r="Y2">
        <v>1</v>
      </c>
      <c r="AA2">
        <v>0</v>
      </c>
      <c r="AB2">
        <v>0</v>
      </c>
      <c r="AD2">
        <v>0</v>
      </c>
      <c r="AE2">
        <v>0</v>
      </c>
      <c r="AF2">
        <v>12000</v>
      </c>
      <c r="AG2">
        <v>12000</v>
      </c>
    </row>
    <row r="3" spans="1:33" x14ac:dyDescent="0.25">
      <c r="A3" t="s">
        <v>47</v>
      </c>
      <c r="B3" t="s">
        <v>48</v>
      </c>
      <c r="C3" t="s">
        <v>49</v>
      </c>
      <c r="D3" t="s">
        <v>50</v>
      </c>
      <c r="E3">
        <v>1988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64</v>
      </c>
      <c r="M3" t="s">
        <v>65</v>
      </c>
      <c r="P3" t="s">
        <v>59</v>
      </c>
      <c r="Q3" t="s">
        <v>66</v>
      </c>
      <c r="R3">
        <v>1989</v>
      </c>
      <c r="S3" t="s">
        <v>67</v>
      </c>
      <c r="T3" t="s">
        <v>67</v>
      </c>
      <c r="U3">
        <v>10</v>
      </c>
      <c r="V3" t="s">
        <v>62</v>
      </c>
      <c r="W3" t="s">
        <v>68</v>
      </c>
      <c r="Y3">
        <v>1</v>
      </c>
      <c r="AA3">
        <v>0</v>
      </c>
      <c r="AB3">
        <v>0</v>
      </c>
      <c r="AD3">
        <v>0</v>
      </c>
      <c r="AE3">
        <v>0</v>
      </c>
      <c r="AF3">
        <v>15000</v>
      </c>
      <c r="AG3">
        <v>15000</v>
      </c>
    </row>
    <row r="4" spans="1:33" x14ac:dyDescent="0.25">
      <c r="A4" t="s">
        <v>47</v>
      </c>
      <c r="B4" t="s">
        <v>48</v>
      </c>
      <c r="C4" t="s">
        <v>49</v>
      </c>
      <c r="D4" t="s">
        <v>50</v>
      </c>
      <c r="E4">
        <v>1989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69</v>
      </c>
      <c r="M4" t="s">
        <v>51</v>
      </c>
      <c r="N4" t="s">
        <v>53</v>
      </c>
      <c r="O4" t="s">
        <v>54</v>
      </c>
      <c r="P4" t="s">
        <v>70</v>
      </c>
      <c r="Q4" t="s">
        <v>71</v>
      </c>
      <c r="R4">
        <v>1990</v>
      </c>
      <c r="S4" t="s">
        <v>72</v>
      </c>
      <c r="T4" t="s">
        <v>72</v>
      </c>
      <c r="U4">
        <v>0</v>
      </c>
      <c r="V4" t="s">
        <v>73</v>
      </c>
      <c r="W4" t="s">
        <v>63</v>
      </c>
      <c r="Y4">
        <v>1</v>
      </c>
      <c r="AA4">
        <v>0</v>
      </c>
      <c r="AB4">
        <v>0</v>
      </c>
      <c r="AD4">
        <v>0</v>
      </c>
      <c r="AE4">
        <v>0</v>
      </c>
      <c r="AF4">
        <v>1000</v>
      </c>
      <c r="AG4">
        <v>1000</v>
      </c>
    </row>
    <row r="5" spans="1:33" x14ac:dyDescent="0.25">
      <c r="A5" t="s">
        <v>47</v>
      </c>
      <c r="B5" t="s">
        <v>48</v>
      </c>
      <c r="C5" t="s">
        <v>49</v>
      </c>
      <c r="D5" t="s">
        <v>50</v>
      </c>
      <c r="E5">
        <v>1990</v>
      </c>
      <c r="F5" t="s">
        <v>51</v>
      </c>
      <c r="G5" t="s">
        <v>52</v>
      </c>
      <c r="H5" t="s">
        <v>53</v>
      </c>
      <c r="I5" t="s">
        <v>54</v>
      </c>
      <c r="J5" t="s">
        <v>74</v>
      </c>
      <c r="K5" t="s">
        <v>56</v>
      </c>
      <c r="L5" t="s">
        <v>69</v>
      </c>
      <c r="M5" t="s">
        <v>51</v>
      </c>
      <c r="N5" t="s">
        <v>53</v>
      </c>
      <c r="O5" t="s">
        <v>54</v>
      </c>
      <c r="P5" t="s">
        <v>75</v>
      </c>
      <c r="Q5" t="s">
        <v>76</v>
      </c>
      <c r="R5">
        <v>1991</v>
      </c>
      <c r="S5" t="s">
        <v>77</v>
      </c>
      <c r="T5" t="s">
        <v>77</v>
      </c>
      <c r="U5">
        <v>3</v>
      </c>
      <c r="V5" t="s">
        <v>62</v>
      </c>
      <c r="W5" t="s">
        <v>63</v>
      </c>
      <c r="Y5">
        <v>1</v>
      </c>
      <c r="AA5">
        <v>0</v>
      </c>
      <c r="AB5">
        <v>0</v>
      </c>
      <c r="AD5">
        <v>0</v>
      </c>
      <c r="AE5">
        <v>0</v>
      </c>
      <c r="AF5">
        <v>2500</v>
      </c>
      <c r="AG5">
        <v>2500</v>
      </c>
    </row>
    <row r="6" spans="1:33" x14ac:dyDescent="0.25">
      <c r="A6" t="s">
        <v>47</v>
      </c>
      <c r="B6" t="s">
        <v>48</v>
      </c>
      <c r="C6" t="s">
        <v>49</v>
      </c>
      <c r="D6" t="s">
        <v>50</v>
      </c>
      <c r="E6">
        <v>1991</v>
      </c>
      <c r="F6" t="s">
        <v>51</v>
      </c>
      <c r="G6" t="s">
        <v>52</v>
      </c>
      <c r="H6" t="s">
        <v>53</v>
      </c>
      <c r="I6" t="s">
        <v>54</v>
      </c>
      <c r="J6" t="s">
        <v>74</v>
      </c>
      <c r="K6" t="s">
        <v>56</v>
      </c>
      <c r="L6" t="s">
        <v>69</v>
      </c>
      <c r="M6" t="s">
        <v>51</v>
      </c>
      <c r="N6" t="s">
        <v>53</v>
      </c>
      <c r="O6" t="s">
        <v>54</v>
      </c>
      <c r="P6" t="s">
        <v>70</v>
      </c>
      <c r="Q6" t="s">
        <v>78</v>
      </c>
      <c r="R6">
        <v>1992</v>
      </c>
      <c r="S6" t="s">
        <v>79</v>
      </c>
      <c r="T6" t="s">
        <v>79</v>
      </c>
      <c r="U6">
        <v>0</v>
      </c>
      <c r="V6" t="s">
        <v>73</v>
      </c>
      <c r="W6" t="s">
        <v>63</v>
      </c>
      <c r="Y6">
        <v>1</v>
      </c>
      <c r="AA6">
        <v>0</v>
      </c>
      <c r="AB6">
        <v>0</v>
      </c>
      <c r="AD6">
        <v>0</v>
      </c>
      <c r="AE6">
        <v>0</v>
      </c>
      <c r="AF6">
        <v>14000</v>
      </c>
      <c r="AG6">
        <v>14000</v>
      </c>
    </row>
    <row r="7" spans="1:33" x14ac:dyDescent="0.25">
      <c r="A7" t="s">
        <v>47</v>
      </c>
      <c r="B7" t="s">
        <v>48</v>
      </c>
      <c r="C7" t="s">
        <v>49</v>
      </c>
      <c r="D7" t="s">
        <v>50</v>
      </c>
      <c r="E7">
        <v>1992</v>
      </c>
      <c r="F7" t="s">
        <v>51</v>
      </c>
      <c r="G7" t="s">
        <v>52</v>
      </c>
      <c r="H7" t="s">
        <v>53</v>
      </c>
      <c r="I7" t="s">
        <v>54</v>
      </c>
      <c r="J7" t="s">
        <v>74</v>
      </c>
      <c r="K7" t="s">
        <v>56</v>
      </c>
      <c r="L7" t="s">
        <v>57</v>
      </c>
      <c r="M7" t="s">
        <v>58</v>
      </c>
      <c r="P7" t="s">
        <v>59</v>
      </c>
      <c r="Q7" t="s">
        <v>80</v>
      </c>
      <c r="R7">
        <v>1993</v>
      </c>
      <c r="S7" t="s">
        <v>81</v>
      </c>
      <c r="T7" t="s">
        <v>81</v>
      </c>
      <c r="U7">
        <v>6</v>
      </c>
      <c r="V7" t="s">
        <v>62</v>
      </c>
      <c r="W7" t="s">
        <v>63</v>
      </c>
      <c r="X7" t="s">
        <v>82</v>
      </c>
      <c r="Y7">
        <v>1</v>
      </c>
      <c r="Z7" t="s">
        <v>83</v>
      </c>
      <c r="AA7">
        <v>24705</v>
      </c>
      <c r="AB7">
        <v>250</v>
      </c>
      <c r="AD7">
        <v>0</v>
      </c>
      <c r="AE7">
        <v>0</v>
      </c>
      <c r="AF7">
        <v>5233</v>
      </c>
      <c r="AG7">
        <v>30188</v>
      </c>
    </row>
    <row r="8" spans="1:33" x14ac:dyDescent="0.25">
      <c r="A8" t="s">
        <v>47</v>
      </c>
      <c r="B8" t="s">
        <v>48</v>
      </c>
      <c r="C8" t="s">
        <v>49</v>
      </c>
      <c r="D8" t="s">
        <v>50</v>
      </c>
      <c r="E8">
        <v>1992</v>
      </c>
      <c r="F8" t="s">
        <v>51</v>
      </c>
      <c r="G8" t="s">
        <v>52</v>
      </c>
      <c r="H8" t="s">
        <v>53</v>
      </c>
      <c r="I8" t="s">
        <v>54</v>
      </c>
      <c r="J8" t="s">
        <v>74</v>
      </c>
      <c r="K8" t="s">
        <v>56</v>
      </c>
      <c r="L8" t="s">
        <v>57</v>
      </c>
      <c r="M8" t="s">
        <v>58</v>
      </c>
      <c r="P8" t="s">
        <v>59</v>
      </c>
      <c r="Q8" t="s">
        <v>84</v>
      </c>
      <c r="R8">
        <v>1993</v>
      </c>
      <c r="S8" t="s">
        <v>85</v>
      </c>
      <c r="T8" t="s">
        <v>85</v>
      </c>
      <c r="U8">
        <v>6</v>
      </c>
      <c r="V8" t="s">
        <v>62</v>
      </c>
      <c r="W8" t="s">
        <v>63</v>
      </c>
      <c r="X8" t="s">
        <v>86</v>
      </c>
      <c r="Y8">
        <v>1</v>
      </c>
      <c r="Z8" t="s">
        <v>83</v>
      </c>
      <c r="AA8">
        <v>22638</v>
      </c>
      <c r="AB8">
        <v>275</v>
      </c>
      <c r="AD8">
        <v>0</v>
      </c>
      <c r="AE8">
        <v>0</v>
      </c>
      <c r="AF8">
        <v>8484</v>
      </c>
      <c r="AG8">
        <v>31397</v>
      </c>
    </row>
    <row r="9" spans="1:33" x14ac:dyDescent="0.25">
      <c r="A9" t="s">
        <v>47</v>
      </c>
      <c r="B9" t="s">
        <v>48</v>
      </c>
      <c r="C9" t="s">
        <v>49</v>
      </c>
      <c r="D9" t="s">
        <v>50</v>
      </c>
      <c r="E9">
        <v>1993</v>
      </c>
      <c r="F9" t="s">
        <v>51</v>
      </c>
      <c r="G9" t="s">
        <v>52</v>
      </c>
      <c r="H9" t="s">
        <v>53</v>
      </c>
      <c r="I9" t="s">
        <v>54</v>
      </c>
      <c r="J9" t="s">
        <v>74</v>
      </c>
      <c r="K9" t="s">
        <v>56</v>
      </c>
      <c r="L9" t="s">
        <v>57</v>
      </c>
      <c r="M9" t="s">
        <v>58</v>
      </c>
      <c r="P9" t="s">
        <v>59</v>
      </c>
      <c r="Q9" t="s">
        <v>87</v>
      </c>
      <c r="R9">
        <v>1994</v>
      </c>
      <c r="S9" t="s">
        <v>88</v>
      </c>
      <c r="T9" t="s">
        <v>88</v>
      </c>
      <c r="U9">
        <v>0</v>
      </c>
      <c r="V9" t="s">
        <v>62</v>
      </c>
      <c r="W9" t="s">
        <v>63</v>
      </c>
      <c r="Y9">
        <v>1</v>
      </c>
      <c r="Z9" t="s">
        <v>83</v>
      </c>
      <c r="AA9">
        <v>65715</v>
      </c>
      <c r="AB9">
        <v>446</v>
      </c>
      <c r="AD9">
        <v>0</v>
      </c>
      <c r="AE9">
        <v>0</v>
      </c>
      <c r="AF9">
        <v>15480</v>
      </c>
      <c r="AG9">
        <v>81641</v>
      </c>
    </row>
    <row r="10" spans="1:33" x14ac:dyDescent="0.25">
      <c r="A10" t="s">
        <v>47</v>
      </c>
      <c r="B10" t="s">
        <v>48</v>
      </c>
      <c r="C10" t="s">
        <v>49</v>
      </c>
      <c r="D10" t="s">
        <v>50</v>
      </c>
      <c r="E10">
        <v>1994</v>
      </c>
      <c r="F10" t="s">
        <v>51</v>
      </c>
      <c r="G10" t="s">
        <v>52</v>
      </c>
      <c r="H10" t="s">
        <v>53</v>
      </c>
      <c r="I10" t="s">
        <v>54</v>
      </c>
      <c r="J10" t="s">
        <v>74</v>
      </c>
      <c r="K10" t="s">
        <v>56</v>
      </c>
      <c r="L10" t="s">
        <v>57</v>
      </c>
      <c r="M10" t="s">
        <v>58</v>
      </c>
      <c r="P10" t="s">
        <v>59</v>
      </c>
      <c r="Q10" t="s">
        <v>89</v>
      </c>
      <c r="R10">
        <v>1995</v>
      </c>
      <c r="S10" t="s">
        <v>90</v>
      </c>
      <c r="T10" t="s">
        <v>90</v>
      </c>
      <c r="U10">
        <v>5</v>
      </c>
      <c r="V10" t="s">
        <v>62</v>
      </c>
      <c r="W10" t="s">
        <v>63</v>
      </c>
      <c r="Y10">
        <v>1</v>
      </c>
      <c r="AA10">
        <v>0</v>
      </c>
      <c r="AB10">
        <v>0</v>
      </c>
      <c r="AD10">
        <v>0</v>
      </c>
      <c r="AE10">
        <v>0</v>
      </c>
      <c r="AF10">
        <v>23090</v>
      </c>
      <c r="AG10">
        <v>23090</v>
      </c>
    </row>
    <row r="11" spans="1:33" x14ac:dyDescent="0.25">
      <c r="A11" t="s">
        <v>47</v>
      </c>
      <c r="B11" t="s">
        <v>48</v>
      </c>
      <c r="C11" t="s">
        <v>49</v>
      </c>
      <c r="D11" t="s">
        <v>50</v>
      </c>
      <c r="E11">
        <v>1995</v>
      </c>
      <c r="F11" t="s">
        <v>51</v>
      </c>
      <c r="G11" t="s">
        <v>52</v>
      </c>
      <c r="H11" t="s">
        <v>53</v>
      </c>
      <c r="I11" t="s">
        <v>54</v>
      </c>
      <c r="J11" t="s">
        <v>74</v>
      </c>
      <c r="K11" t="s">
        <v>56</v>
      </c>
      <c r="L11" t="s">
        <v>57</v>
      </c>
      <c r="M11" t="s">
        <v>58</v>
      </c>
      <c r="P11" t="s">
        <v>59</v>
      </c>
      <c r="Q11" t="s">
        <v>91</v>
      </c>
      <c r="R11">
        <v>1996</v>
      </c>
      <c r="S11" t="s">
        <v>92</v>
      </c>
      <c r="T11" t="s">
        <v>92</v>
      </c>
      <c r="U11">
        <v>7</v>
      </c>
      <c r="V11" t="s">
        <v>62</v>
      </c>
      <c r="W11" t="s">
        <v>63</v>
      </c>
      <c r="X11" t="s">
        <v>93</v>
      </c>
      <c r="Y11">
        <v>1</v>
      </c>
      <c r="Z11" t="s">
        <v>83</v>
      </c>
      <c r="AA11">
        <v>16054</v>
      </c>
      <c r="AB11">
        <v>32</v>
      </c>
      <c r="AD11">
        <v>0</v>
      </c>
      <c r="AE11">
        <v>0</v>
      </c>
      <c r="AF11">
        <v>1144</v>
      </c>
      <c r="AG11">
        <v>17230</v>
      </c>
    </row>
    <row r="12" spans="1:33" x14ac:dyDescent="0.25">
      <c r="A12" t="s">
        <v>47</v>
      </c>
      <c r="B12" t="s">
        <v>48</v>
      </c>
      <c r="C12" t="s">
        <v>49</v>
      </c>
      <c r="D12" t="s">
        <v>50</v>
      </c>
      <c r="E12">
        <v>1995</v>
      </c>
      <c r="F12" t="s">
        <v>51</v>
      </c>
      <c r="G12" t="s">
        <v>52</v>
      </c>
      <c r="H12" t="s">
        <v>53</v>
      </c>
      <c r="I12" t="s">
        <v>54</v>
      </c>
      <c r="J12" t="s">
        <v>74</v>
      </c>
      <c r="K12" t="s">
        <v>56</v>
      </c>
      <c r="L12" t="s">
        <v>57</v>
      </c>
      <c r="M12" t="s">
        <v>58</v>
      </c>
      <c r="P12" t="s">
        <v>59</v>
      </c>
      <c r="Q12" t="s">
        <v>94</v>
      </c>
      <c r="R12">
        <v>1996</v>
      </c>
      <c r="S12" t="s">
        <v>92</v>
      </c>
      <c r="T12" t="s">
        <v>92</v>
      </c>
      <c r="U12">
        <v>7</v>
      </c>
      <c r="V12" t="s">
        <v>62</v>
      </c>
      <c r="W12" t="s">
        <v>63</v>
      </c>
      <c r="X12" t="s">
        <v>95</v>
      </c>
      <c r="Y12">
        <v>1</v>
      </c>
      <c r="Z12" t="s">
        <v>83</v>
      </c>
      <c r="AA12">
        <v>26520</v>
      </c>
      <c r="AB12">
        <v>53</v>
      </c>
      <c r="AD12">
        <v>0</v>
      </c>
      <c r="AE12">
        <v>0</v>
      </c>
      <c r="AF12">
        <v>2122</v>
      </c>
      <c r="AG12">
        <v>28695</v>
      </c>
    </row>
    <row r="13" spans="1:33" x14ac:dyDescent="0.25">
      <c r="A13" t="s">
        <v>47</v>
      </c>
      <c r="B13" t="s">
        <v>48</v>
      </c>
      <c r="C13" t="s">
        <v>49</v>
      </c>
      <c r="D13" t="s">
        <v>50</v>
      </c>
      <c r="E13">
        <v>1995</v>
      </c>
      <c r="F13" t="s">
        <v>51</v>
      </c>
      <c r="G13" t="s">
        <v>52</v>
      </c>
      <c r="H13" t="s">
        <v>53</v>
      </c>
      <c r="I13" t="s">
        <v>54</v>
      </c>
      <c r="J13" t="s">
        <v>74</v>
      </c>
      <c r="K13" t="s">
        <v>56</v>
      </c>
      <c r="L13" t="s">
        <v>57</v>
      </c>
      <c r="M13" t="s">
        <v>58</v>
      </c>
      <c r="P13" t="s">
        <v>59</v>
      </c>
      <c r="Q13" t="s">
        <v>96</v>
      </c>
      <c r="R13">
        <v>1996</v>
      </c>
      <c r="S13" t="s">
        <v>97</v>
      </c>
      <c r="T13" t="s">
        <v>98</v>
      </c>
      <c r="U13">
        <v>7</v>
      </c>
      <c r="V13" t="s">
        <v>62</v>
      </c>
      <c r="W13" t="s">
        <v>63</v>
      </c>
      <c r="X13" t="s">
        <v>99</v>
      </c>
      <c r="Y13">
        <v>1</v>
      </c>
      <c r="Z13" t="s">
        <v>83</v>
      </c>
      <c r="AA13">
        <v>16436</v>
      </c>
      <c r="AB13">
        <v>83</v>
      </c>
      <c r="AD13">
        <v>0</v>
      </c>
      <c r="AE13">
        <v>0</v>
      </c>
      <c r="AF13">
        <v>31203</v>
      </c>
      <c r="AG13">
        <v>47722</v>
      </c>
    </row>
    <row r="14" spans="1:33" x14ac:dyDescent="0.25">
      <c r="A14" t="s">
        <v>47</v>
      </c>
      <c r="B14" t="s">
        <v>48</v>
      </c>
      <c r="C14" t="s">
        <v>49</v>
      </c>
      <c r="D14" t="s">
        <v>50</v>
      </c>
      <c r="E14">
        <v>1997</v>
      </c>
      <c r="F14" t="s">
        <v>51</v>
      </c>
      <c r="G14" t="s">
        <v>52</v>
      </c>
      <c r="H14" t="s">
        <v>53</v>
      </c>
      <c r="I14" t="s">
        <v>54</v>
      </c>
      <c r="J14" t="s">
        <v>74</v>
      </c>
      <c r="K14" t="s">
        <v>56</v>
      </c>
      <c r="L14" t="s">
        <v>69</v>
      </c>
      <c r="M14" t="s">
        <v>51</v>
      </c>
      <c r="N14" t="s">
        <v>53</v>
      </c>
      <c r="O14" t="s">
        <v>54</v>
      </c>
      <c r="P14" t="s">
        <v>70</v>
      </c>
      <c r="Q14" t="s">
        <v>100</v>
      </c>
      <c r="R14">
        <v>1998</v>
      </c>
      <c r="S14" t="s">
        <v>101</v>
      </c>
      <c r="T14" t="s">
        <v>101</v>
      </c>
      <c r="U14">
        <v>5</v>
      </c>
      <c r="V14" t="s">
        <v>73</v>
      </c>
      <c r="W14" t="s">
        <v>63</v>
      </c>
      <c r="Y14">
        <v>1</v>
      </c>
      <c r="AA14">
        <v>0</v>
      </c>
      <c r="AB14">
        <v>0</v>
      </c>
      <c r="AD14">
        <v>0</v>
      </c>
      <c r="AE14">
        <v>0</v>
      </c>
      <c r="AF14">
        <v>3000</v>
      </c>
      <c r="AG14">
        <v>3000</v>
      </c>
    </row>
    <row r="15" spans="1:33" x14ac:dyDescent="0.25">
      <c r="A15" t="s">
        <v>47</v>
      </c>
      <c r="B15" t="s">
        <v>48</v>
      </c>
      <c r="C15" t="s">
        <v>49</v>
      </c>
      <c r="D15" t="s">
        <v>50</v>
      </c>
      <c r="E15">
        <v>1998</v>
      </c>
      <c r="F15" t="s">
        <v>51</v>
      </c>
      <c r="G15" t="s">
        <v>52</v>
      </c>
      <c r="H15" t="s">
        <v>53</v>
      </c>
      <c r="I15" t="s">
        <v>54</v>
      </c>
      <c r="J15" t="s">
        <v>74</v>
      </c>
      <c r="K15" t="s">
        <v>56</v>
      </c>
      <c r="L15" t="s">
        <v>102</v>
      </c>
      <c r="M15" t="s">
        <v>103</v>
      </c>
      <c r="N15" t="s">
        <v>104</v>
      </c>
      <c r="O15" t="s">
        <v>105</v>
      </c>
      <c r="P15" t="s">
        <v>59</v>
      </c>
      <c r="Q15" t="s">
        <v>106</v>
      </c>
      <c r="R15">
        <v>1999</v>
      </c>
      <c r="S15" t="s">
        <v>107</v>
      </c>
      <c r="T15" t="s">
        <v>107</v>
      </c>
      <c r="U15">
        <v>8.5</v>
      </c>
      <c r="V15" t="s">
        <v>62</v>
      </c>
      <c r="W15" t="s">
        <v>68</v>
      </c>
      <c r="X15" t="s">
        <v>108</v>
      </c>
      <c r="Y15">
        <v>1</v>
      </c>
      <c r="AA15">
        <v>0</v>
      </c>
      <c r="AB15">
        <v>0</v>
      </c>
      <c r="AD15">
        <v>0</v>
      </c>
      <c r="AE15">
        <v>0</v>
      </c>
      <c r="AF15">
        <v>100000</v>
      </c>
      <c r="AG15">
        <v>100000</v>
      </c>
    </row>
    <row r="16" spans="1:33" x14ac:dyDescent="0.25">
      <c r="A16" t="s">
        <v>47</v>
      </c>
      <c r="B16" t="s">
        <v>48</v>
      </c>
      <c r="C16" t="s">
        <v>49</v>
      </c>
      <c r="D16" t="s">
        <v>50</v>
      </c>
      <c r="E16">
        <v>1999</v>
      </c>
      <c r="F16" t="s">
        <v>51</v>
      </c>
      <c r="G16" t="s">
        <v>52</v>
      </c>
      <c r="H16" t="s">
        <v>53</v>
      </c>
      <c r="I16" t="s">
        <v>54</v>
      </c>
      <c r="J16" t="s">
        <v>74</v>
      </c>
      <c r="K16" t="s">
        <v>56</v>
      </c>
      <c r="L16" t="s">
        <v>57</v>
      </c>
      <c r="M16" t="s">
        <v>58</v>
      </c>
      <c r="P16" t="s">
        <v>59</v>
      </c>
      <c r="Q16" t="s">
        <v>109</v>
      </c>
      <c r="R16">
        <v>2000</v>
      </c>
      <c r="S16" t="s">
        <v>110</v>
      </c>
      <c r="T16" t="s">
        <v>110</v>
      </c>
      <c r="U16">
        <v>7.5</v>
      </c>
      <c r="V16" t="s">
        <v>62</v>
      </c>
      <c r="W16" t="s">
        <v>63</v>
      </c>
      <c r="Y16">
        <v>1</v>
      </c>
      <c r="AA16">
        <v>0</v>
      </c>
      <c r="AB16">
        <v>0</v>
      </c>
      <c r="AD16">
        <v>0</v>
      </c>
      <c r="AE16">
        <v>0</v>
      </c>
      <c r="AF16">
        <v>35000</v>
      </c>
      <c r="AG16">
        <v>35000</v>
      </c>
    </row>
    <row r="17" spans="1:33" x14ac:dyDescent="0.25">
      <c r="A17" t="s">
        <v>47</v>
      </c>
      <c r="B17" t="s">
        <v>48</v>
      </c>
      <c r="C17" t="s">
        <v>49</v>
      </c>
      <c r="D17" t="s">
        <v>50</v>
      </c>
      <c r="E17">
        <v>2000</v>
      </c>
      <c r="F17" t="s">
        <v>51</v>
      </c>
      <c r="G17" t="s">
        <v>52</v>
      </c>
      <c r="H17" t="s">
        <v>53</v>
      </c>
      <c r="I17" t="s">
        <v>54</v>
      </c>
      <c r="J17" t="s">
        <v>74</v>
      </c>
      <c r="K17" t="s">
        <v>56</v>
      </c>
      <c r="L17" t="s">
        <v>57</v>
      </c>
      <c r="M17" t="s">
        <v>58</v>
      </c>
      <c r="P17" t="s">
        <v>59</v>
      </c>
      <c r="Q17" t="s">
        <v>111</v>
      </c>
      <c r="R17">
        <v>2001</v>
      </c>
      <c r="S17" t="s">
        <v>110</v>
      </c>
      <c r="T17" t="s">
        <v>112</v>
      </c>
      <c r="U17">
        <v>5.5</v>
      </c>
      <c r="V17" t="s">
        <v>62</v>
      </c>
      <c r="W17" t="s">
        <v>63</v>
      </c>
      <c r="X17" t="s">
        <v>113</v>
      </c>
      <c r="Y17">
        <v>1</v>
      </c>
      <c r="Z17" t="s">
        <v>83</v>
      </c>
      <c r="AA17">
        <v>19424</v>
      </c>
      <c r="AB17">
        <v>196</v>
      </c>
      <c r="AD17">
        <v>0</v>
      </c>
      <c r="AE17">
        <v>0</v>
      </c>
      <c r="AF17">
        <v>217</v>
      </c>
      <c r="AG17">
        <v>19837</v>
      </c>
    </row>
    <row r="18" spans="1:33" x14ac:dyDescent="0.25">
      <c r="A18" t="s">
        <v>47</v>
      </c>
      <c r="B18" t="s">
        <v>48</v>
      </c>
      <c r="C18" t="s">
        <v>49</v>
      </c>
      <c r="D18" t="s">
        <v>50</v>
      </c>
      <c r="E18">
        <v>2000</v>
      </c>
      <c r="F18" t="s">
        <v>51</v>
      </c>
      <c r="G18" t="s">
        <v>52</v>
      </c>
      <c r="H18" t="s">
        <v>53</v>
      </c>
      <c r="I18" t="s">
        <v>54</v>
      </c>
      <c r="J18" t="s">
        <v>74</v>
      </c>
      <c r="K18" t="s">
        <v>56</v>
      </c>
      <c r="L18" t="s">
        <v>57</v>
      </c>
      <c r="M18" t="s">
        <v>58</v>
      </c>
      <c r="P18" t="s">
        <v>59</v>
      </c>
      <c r="Q18" t="s">
        <v>114</v>
      </c>
      <c r="R18">
        <v>2001</v>
      </c>
      <c r="S18" t="s">
        <v>112</v>
      </c>
      <c r="T18" t="s">
        <v>112</v>
      </c>
      <c r="U18">
        <v>5.5</v>
      </c>
      <c r="V18" t="s">
        <v>62</v>
      </c>
      <c r="W18" t="s">
        <v>63</v>
      </c>
      <c r="X18" t="s">
        <v>115</v>
      </c>
      <c r="Y18">
        <v>1</v>
      </c>
      <c r="Z18" t="s">
        <v>83</v>
      </c>
      <c r="AA18">
        <v>25139</v>
      </c>
      <c r="AB18">
        <v>0</v>
      </c>
      <c r="AD18">
        <v>0</v>
      </c>
      <c r="AE18">
        <v>0</v>
      </c>
      <c r="AF18">
        <v>278</v>
      </c>
      <c r="AG18">
        <v>25417</v>
      </c>
    </row>
    <row r="19" spans="1:33" x14ac:dyDescent="0.25">
      <c r="A19" t="s">
        <v>47</v>
      </c>
      <c r="B19" t="s">
        <v>48</v>
      </c>
      <c r="C19" t="s">
        <v>49</v>
      </c>
      <c r="D19" t="s">
        <v>50</v>
      </c>
      <c r="E19">
        <v>2001</v>
      </c>
      <c r="F19" t="s">
        <v>51</v>
      </c>
      <c r="G19" t="s">
        <v>52</v>
      </c>
      <c r="H19" t="s">
        <v>53</v>
      </c>
      <c r="I19" t="s">
        <v>54</v>
      </c>
      <c r="J19" t="s">
        <v>74</v>
      </c>
      <c r="K19" t="s">
        <v>56</v>
      </c>
      <c r="L19" t="s">
        <v>57</v>
      </c>
      <c r="M19" t="s">
        <v>58</v>
      </c>
      <c r="P19" t="s">
        <v>59</v>
      </c>
      <c r="Q19" t="s">
        <v>116</v>
      </c>
      <c r="R19">
        <v>2002</v>
      </c>
      <c r="S19" t="s">
        <v>117</v>
      </c>
      <c r="T19" t="s">
        <v>117</v>
      </c>
      <c r="U19">
        <v>5.5</v>
      </c>
      <c r="V19" t="s">
        <v>62</v>
      </c>
      <c r="W19" t="s">
        <v>63</v>
      </c>
      <c r="X19" t="s">
        <v>118</v>
      </c>
      <c r="Y19">
        <v>1</v>
      </c>
      <c r="Z19" t="s">
        <v>83</v>
      </c>
      <c r="AA19">
        <v>40000</v>
      </c>
      <c r="AB19">
        <v>0</v>
      </c>
      <c r="AD19">
        <v>0</v>
      </c>
      <c r="AE19">
        <v>0</v>
      </c>
      <c r="AF19">
        <v>15000</v>
      </c>
      <c r="AG19">
        <v>55000</v>
      </c>
    </row>
    <row r="20" spans="1:33" x14ac:dyDescent="0.25">
      <c r="A20" t="s">
        <v>47</v>
      </c>
      <c r="B20" t="s">
        <v>48</v>
      </c>
      <c r="C20" t="s">
        <v>49</v>
      </c>
      <c r="D20" t="s">
        <v>50</v>
      </c>
      <c r="E20">
        <v>2001</v>
      </c>
      <c r="F20" t="s">
        <v>51</v>
      </c>
      <c r="G20" t="s">
        <v>52</v>
      </c>
      <c r="H20" t="s">
        <v>53</v>
      </c>
      <c r="I20" t="s">
        <v>54</v>
      </c>
      <c r="J20" t="s">
        <v>74</v>
      </c>
      <c r="K20" t="s">
        <v>56</v>
      </c>
      <c r="L20" t="s">
        <v>69</v>
      </c>
      <c r="M20" t="s">
        <v>51</v>
      </c>
      <c r="N20" t="s">
        <v>53</v>
      </c>
      <c r="O20" t="s">
        <v>54</v>
      </c>
      <c r="P20" t="s">
        <v>70</v>
      </c>
      <c r="Q20" t="s">
        <v>119</v>
      </c>
      <c r="R20">
        <v>2002</v>
      </c>
      <c r="S20" t="s">
        <v>120</v>
      </c>
      <c r="T20" t="s">
        <v>120</v>
      </c>
      <c r="U20">
        <v>4</v>
      </c>
      <c r="V20" t="s">
        <v>73</v>
      </c>
      <c r="W20" t="s">
        <v>63</v>
      </c>
      <c r="X20" t="s">
        <v>121</v>
      </c>
      <c r="Y20">
        <v>1</v>
      </c>
      <c r="Z20" t="s">
        <v>83</v>
      </c>
      <c r="AA20">
        <v>40000</v>
      </c>
      <c r="AB20">
        <v>0</v>
      </c>
      <c r="AD20">
        <v>0</v>
      </c>
      <c r="AE20">
        <v>0</v>
      </c>
      <c r="AF20">
        <v>15000</v>
      </c>
      <c r="AG20">
        <v>55000</v>
      </c>
    </row>
    <row r="21" spans="1:33" x14ac:dyDescent="0.25">
      <c r="A21" t="s">
        <v>47</v>
      </c>
      <c r="B21" t="s">
        <v>48</v>
      </c>
      <c r="C21" t="s">
        <v>49</v>
      </c>
      <c r="D21" t="s">
        <v>50</v>
      </c>
      <c r="E21">
        <v>2002</v>
      </c>
      <c r="F21" t="s">
        <v>51</v>
      </c>
      <c r="G21" t="s">
        <v>52</v>
      </c>
      <c r="H21" t="s">
        <v>53</v>
      </c>
      <c r="I21" t="s">
        <v>54</v>
      </c>
      <c r="J21" t="s">
        <v>74</v>
      </c>
      <c r="K21" t="s">
        <v>56</v>
      </c>
      <c r="L21" t="s">
        <v>57</v>
      </c>
      <c r="M21" t="s">
        <v>58</v>
      </c>
      <c r="P21" t="s">
        <v>59</v>
      </c>
      <c r="Q21" t="s">
        <v>122</v>
      </c>
      <c r="R21">
        <v>2003</v>
      </c>
      <c r="S21" t="s">
        <v>123</v>
      </c>
      <c r="T21" t="s">
        <v>123</v>
      </c>
      <c r="U21">
        <v>4.5</v>
      </c>
      <c r="V21" t="s">
        <v>62</v>
      </c>
      <c r="W21" t="s">
        <v>63</v>
      </c>
      <c r="X21" t="s">
        <v>124</v>
      </c>
      <c r="Y21">
        <v>1</v>
      </c>
      <c r="Z21" t="s">
        <v>83</v>
      </c>
      <c r="AA21">
        <v>40202</v>
      </c>
      <c r="AB21">
        <v>101</v>
      </c>
      <c r="AD21">
        <v>0</v>
      </c>
      <c r="AE21">
        <v>0</v>
      </c>
      <c r="AF21">
        <v>19798</v>
      </c>
      <c r="AG21">
        <v>60101</v>
      </c>
    </row>
    <row r="22" spans="1:33" x14ac:dyDescent="0.25">
      <c r="A22" t="s">
        <v>47</v>
      </c>
      <c r="B22" t="s">
        <v>48</v>
      </c>
      <c r="C22" t="s">
        <v>49</v>
      </c>
      <c r="D22" t="s">
        <v>50</v>
      </c>
      <c r="E22">
        <v>2002</v>
      </c>
      <c r="F22" t="s">
        <v>51</v>
      </c>
      <c r="G22" t="s">
        <v>52</v>
      </c>
      <c r="H22" t="s">
        <v>53</v>
      </c>
      <c r="I22" t="s">
        <v>54</v>
      </c>
      <c r="J22" t="s">
        <v>74</v>
      </c>
      <c r="K22" t="s">
        <v>56</v>
      </c>
      <c r="L22" t="s">
        <v>69</v>
      </c>
      <c r="M22" t="s">
        <v>51</v>
      </c>
      <c r="N22" t="s">
        <v>53</v>
      </c>
      <c r="O22" t="s">
        <v>54</v>
      </c>
      <c r="P22" t="s">
        <v>70</v>
      </c>
      <c r="Q22" t="s">
        <v>125</v>
      </c>
      <c r="R22">
        <v>2003</v>
      </c>
      <c r="S22" t="s">
        <v>126</v>
      </c>
      <c r="T22" t="s">
        <v>126</v>
      </c>
      <c r="U22">
        <v>3.2</v>
      </c>
      <c r="V22" t="s">
        <v>73</v>
      </c>
      <c r="W22" t="s">
        <v>63</v>
      </c>
      <c r="X22" t="s">
        <v>127</v>
      </c>
      <c r="Y22">
        <v>1</v>
      </c>
      <c r="Z22" t="s">
        <v>83</v>
      </c>
      <c r="AA22">
        <v>20253</v>
      </c>
      <c r="AB22">
        <v>0</v>
      </c>
      <c r="AD22">
        <v>0</v>
      </c>
      <c r="AE22">
        <v>0</v>
      </c>
      <c r="AF22">
        <v>9646</v>
      </c>
      <c r="AG22">
        <v>29899</v>
      </c>
    </row>
    <row r="23" spans="1:33" x14ac:dyDescent="0.25">
      <c r="A23" t="s">
        <v>47</v>
      </c>
      <c r="B23" t="s">
        <v>48</v>
      </c>
      <c r="C23" t="s">
        <v>49</v>
      </c>
      <c r="D23" t="s">
        <v>50</v>
      </c>
      <c r="E23">
        <v>2002</v>
      </c>
      <c r="F23" t="s">
        <v>51</v>
      </c>
      <c r="G23" t="s">
        <v>52</v>
      </c>
      <c r="H23" t="s">
        <v>53</v>
      </c>
      <c r="I23" t="s">
        <v>54</v>
      </c>
      <c r="J23" t="s">
        <v>74</v>
      </c>
      <c r="K23" t="s">
        <v>56</v>
      </c>
      <c r="L23" t="s">
        <v>69</v>
      </c>
      <c r="M23" t="s">
        <v>51</v>
      </c>
      <c r="N23" t="s">
        <v>53</v>
      </c>
      <c r="O23" t="s">
        <v>54</v>
      </c>
      <c r="P23" t="s">
        <v>70</v>
      </c>
      <c r="Q23" t="s">
        <v>128</v>
      </c>
      <c r="R23">
        <v>2003</v>
      </c>
      <c r="S23" t="s">
        <v>126</v>
      </c>
      <c r="T23" t="s">
        <v>126</v>
      </c>
      <c r="U23">
        <v>3.2</v>
      </c>
      <c r="V23" t="s">
        <v>73</v>
      </c>
      <c r="W23" t="s">
        <v>63</v>
      </c>
      <c r="X23" t="s">
        <v>129</v>
      </c>
      <c r="Y23">
        <v>1</v>
      </c>
      <c r="Z23" t="s">
        <v>83</v>
      </c>
      <c r="AA23">
        <v>20397</v>
      </c>
      <c r="AB23">
        <v>103</v>
      </c>
      <c r="AD23">
        <v>0</v>
      </c>
      <c r="AE23">
        <v>0</v>
      </c>
      <c r="AF23">
        <v>9704</v>
      </c>
      <c r="AG23">
        <v>30204</v>
      </c>
    </row>
    <row r="24" spans="1:33" x14ac:dyDescent="0.25">
      <c r="A24" t="s">
        <v>47</v>
      </c>
      <c r="B24" t="s">
        <v>48</v>
      </c>
      <c r="C24" t="s">
        <v>49</v>
      </c>
      <c r="D24" t="s">
        <v>50</v>
      </c>
      <c r="E24">
        <v>2003</v>
      </c>
      <c r="F24" t="s">
        <v>51</v>
      </c>
      <c r="G24" t="s">
        <v>52</v>
      </c>
      <c r="H24" t="s">
        <v>53</v>
      </c>
      <c r="I24" t="s">
        <v>54</v>
      </c>
      <c r="J24" t="s">
        <v>74</v>
      </c>
      <c r="K24" t="s">
        <v>56</v>
      </c>
      <c r="L24" t="s">
        <v>57</v>
      </c>
      <c r="M24" t="s">
        <v>58</v>
      </c>
      <c r="P24" t="s">
        <v>59</v>
      </c>
      <c r="Q24" t="s">
        <v>130</v>
      </c>
      <c r="R24">
        <v>2004</v>
      </c>
      <c r="S24" t="s">
        <v>131</v>
      </c>
      <c r="T24" t="s">
        <v>131</v>
      </c>
      <c r="U24">
        <v>5.3</v>
      </c>
      <c r="V24" t="s">
        <v>62</v>
      </c>
      <c r="W24" t="s">
        <v>63</v>
      </c>
      <c r="X24" t="s">
        <v>132</v>
      </c>
      <c r="Y24">
        <v>1</v>
      </c>
      <c r="Z24" t="s">
        <v>83</v>
      </c>
      <c r="AA24">
        <v>19922</v>
      </c>
      <c r="AB24">
        <v>100</v>
      </c>
      <c r="AD24">
        <v>0</v>
      </c>
      <c r="AE24">
        <v>0</v>
      </c>
      <c r="AF24">
        <v>2002</v>
      </c>
      <c r="AG24">
        <v>22024</v>
      </c>
    </row>
    <row r="25" spans="1:33" x14ac:dyDescent="0.25">
      <c r="A25" t="s">
        <v>47</v>
      </c>
      <c r="B25" t="s">
        <v>48</v>
      </c>
      <c r="C25" t="s">
        <v>49</v>
      </c>
      <c r="D25" t="s">
        <v>50</v>
      </c>
      <c r="E25">
        <v>2003</v>
      </c>
      <c r="F25" t="s">
        <v>51</v>
      </c>
      <c r="G25" t="s">
        <v>52</v>
      </c>
      <c r="H25" t="s">
        <v>53</v>
      </c>
      <c r="I25" t="s">
        <v>54</v>
      </c>
      <c r="J25" t="s">
        <v>74</v>
      </c>
      <c r="K25" t="s">
        <v>56</v>
      </c>
      <c r="L25" t="s">
        <v>57</v>
      </c>
      <c r="M25" t="s">
        <v>58</v>
      </c>
      <c r="P25" t="s">
        <v>59</v>
      </c>
      <c r="Q25" t="s">
        <v>133</v>
      </c>
      <c r="R25">
        <v>2004</v>
      </c>
      <c r="S25" t="s">
        <v>131</v>
      </c>
      <c r="T25" t="s">
        <v>131</v>
      </c>
      <c r="U25">
        <v>5.3</v>
      </c>
      <c r="V25" t="s">
        <v>62</v>
      </c>
      <c r="W25" t="s">
        <v>63</v>
      </c>
      <c r="X25" t="s">
        <v>134</v>
      </c>
      <c r="Y25">
        <v>1</v>
      </c>
      <c r="Z25" t="s">
        <v>83</v>
      </c>
      <c r="AA25">
        <v>19978</v>
      </c>
      <c r="AB25">
        <v>0</v>
      </c>
      <c r="AD25">
        <v>0</v>
      </c>
      <c r="AE25">
        <v>0</v>
      </c>
      <c r="AF25">
        <v>1998</v>
      </c>
      <c r="AG25">
        <v>21976</v>
      </c>
    </row>
    <row r="26" spans="1:33" x14ac:dyDescent="0.25">
      <c r="A26" t="s">
        <v>47</v>
      </c>
      <c r="B26" t="s">
        <v>48</v>
      </c>
      <c r="C26" t="s">
        <v>49</v>
      </c>
      <c r="D26" t="s">
        <v>50</v>
      </c>
      <c r="E26">
        <v>2003</v>
      </c>
      <c r="F26" t="s">
        <v>51</v>
      </c>
      <c r="G26" t="s">
        <v>52</v>
      </c>
      <c r="H26" t="s">
        <v>53</v>
      </c>
      <c r="I26" t="s">
        <v>54</v>
      </c>
      <c r="J26" t="s">
        <v>74</v>
      </c>
      <c r="K26" t="s">
        <v>56</v>
      </c>
      <c r="L26" t="s">
        <v>69</v>
      </c>
      <c r="M26" t="s">
        <v>51</v>
      </c>
      <c r="N26" t="s">
        <v>53</v>
      </c>
      <c r="O26" t="s">
        <v>54</v>
      </c>
      <c r="P26" t="s">
        <v>70</v>
      </c>
      <c r="Q26" t="s">
        <v>135</v>
      </c>
      <c r="R26">
        <v>2004</v>
      </c>
      <c r="S26" t="s">
        <v>136</v>
      </c>
      <c r="T26" t="s">
        <v>136</v>
      </c>
      <c r="U26">
        <v>3.5</v>
      </c>
      <c r="V26" t="s">
        <v>73</v>
      </c>
      <c r="W26" t="s">
        <v>63</v>
      </c>
      <c r="X26" t="s">
        <v>137</v>
      </c>
      <c r="Y26">
        <v>1</v>
      </c>
      <c r="AA26">
        <v>0</v>
      </c>
      <c r="AB26">
        <v>0</v>
      </c>
      <c r="AD26">
        <v>0</v>
      </c>
      <c r="AE26">
        <v>0</v>
      </c>
      <c r="AF26">
        <v>44000</v>
      </c>
      <c r="AG26">
        <v>44000</v>
      </c>
    </row>
    <row r="27" spans="1:33" x14ac:dyDescent="0.25">
      <c r="A27" t="s">
        <v>47</v>
      </c>
      <c r="B27" t="s">
        <v>48</v>
      </c>
      <c r="C27" t="s">
        <v>49</v>
      </c>
      <c r="D27" t="s">
        <v>50</v>
      </c>
      <c r="E27">
        <v>2004</v>
      </c>
      <c r="F27" t="s">
        <v>51</v>
      </c>
      <c r="G27" t="s">
        <v>52</v>
      </c>
      <c r="H27" t="s">
        <v>53</v>
      </c>
      <c r="I27" t="s">
        <v>54</v>
      </c>
      <c r="J27" t="s">
        <v>74</v>
      </c>
      <c r="K27" t="s">
        <v>56</v>
      </c>
      <c r="L27" t="s">
        <v>69</v>
      </c>
      <c r="M27" t="s">
        <v>51</v>
      </c>
      <c r="N27" t="s">
        <v>53</v>
      </c>
      <c r="O27" t="s">
        <v>54</v>
      </c>
      <c r="P27" t="s">
        <v>70</v>
      </c>
      <c r="Q27" t="s">
        <v>138</v>
      </c>
      <c r="R27">
        <v>2005</v>
      </c>
      <c r="S27" t="s">
        <v>139</v>
      </c>
      <c r="T27" t="s">
        <v>139</v>
      </c>
      <c r="U27">
        <v>3.5</v>
      </c>
      <c r="V27" t="s">
        <v>73</v>
      </c>
      <c r="W27" t="s">
        <v>63</v>
      </c>
      <c r="X27" t="s">
        <v>140</v>
      </c>
      <c r="Y27">
        <v>1</v>
      </c>
      <c r="AA27">
        <v>0</v>
      </c>
      <c r="AB27">
        <v>0</v>
      </c>
      <c r="AD27">
        <v>0</v>
      </c>
      <c r="AE27">
        <v>0</v>
      </c>
      <c r="AF27">
        <v>29700</v>
      </c>
      <c r="AG27">
        <v>29700</v>
      </c>
    </row>
    <row r="28" spans="1:33" x14ac:dyDescent="0.25">
      <c r="A28" t="s">
        <v>47</v>
      </c>
      <c r="B28" t="s">
        <v>48</v>
      </c>
      <c r="C28" t="s">
        <v>49</v>
      </c>
      <c r="D28" t="s">
        <v>50</v>
      </c>
      <c r="E28">
        <v>2005</v>
      </c>
      <c r="F28" t="s">
        <v>51</v>
      </c>
      <c r="G28" t="s">
        <v>52</v>
      </c>
      <c r="H28" t="s">
        <v>53</v>
      </c>
      <c r="I28" t="s">
        <v>54</v>
      </c>
      <c r="J28" t="s">
        <v>74</v>
      </c>
      <c r="K28" t="s">
        <v>56</v>
      </c>
      <c r="L28" t="s">
        <v>69</v>
      </c>
      <c r="M28" t="s">
        <v>141</v>
      </c>
      <c r="N28" t="s">
        <v>53</v>
      </c>
      <c r="O28" t="s">
        <v>54</v>
      </c>
      <c r="P28" t="s">
        <v>70</v>
      </c>
      <c r="Q28" t="s">
        <v>142</v>
      </c>
      <c r="R28">
        <v>2006</v>
      </c>
      <c r="S28" t="s">
        <v>143</v>
      </c>
      <c r="T28" t="s">
        <v>143</v>
      </c>
      <c r="U28">
        <v>2.8</v>
      </c>
      <c r="V28" t="s">
        <v>73</v>
      </c>
      <c r="W28" t="s">
        <v>63</v>
      </c>
      <c r="Y28">
        <v>1</v>
      </c>
      <c r="Z28" t="s">
        <v>83</v>
      </c>
      <c r="AA28">
        <v>40801</v>
      </c>
      <c r="AB28">
        <v>0</v>
      </c>
      <c r="AD28">
        <v>0</v>
      </c>
      <c r="AE28">
        <v>0</v>
      </c>
      <c r="AF28">
        <v>23200</v>
      </c>
      <c r="AG28">
        <v>64001</v>
      </c>
    </row>
    <row r="29" spans="1:33" x14ac:dyDescent="0.25">
      <c r="A29" t="s">
        <v>47</v>
      </c>
      <c r="B29" t="s">
        <v>48</v>
      </c>
      <c r="C29" t="s">
        <v>49</v>
      </c>
      <c r="D29" t="s">
        <v>50</v>
      </c>
      <c r="E29">
        <v>2006</v>
      </c>
      <c r="F29" t="s">
        <v>51</v>
      </c>
      <c r="G29" t="s">
        <v>52</v>
      </c>
      <c r="H29" t="s">
        <v>53</v>
      </c>
      <c r="I29" t="s">
        <v>54</v>
      </c>
      <c r="J29" t="s">
        <v>74</v>
      </c>
      <c r="K29" t="s">
        <v>56</v>
      </c>
      <c r="L29" t="s">
        <v>57</v>
      </c>
      <c r="M29" t="s">
        <v>58</v>
      </c>
      <c r="P29" t="s">
        <v>59</v>
      </c>
      <c r="Q29" t="s">
        <v>144</v>
      </c>
      <c r="R29">
        <v>2007</v>
      </c>
      <c r="S29" t="s">
        <v>145</v>
      </c>
      <c r="T29" t="s">
        <v>145</v>
      </c>
      <c r="U29">
        <v>6</v>
      </c>
      <c r="V29" t="s">
        <v>62</v>
      </c>
      <c r="W29" t="s">
        <v>63</v>
      </c>
      <c r="Y29">
        <v>1</v>
      </c>
      <c r="Z29" t="s">
        <v>83</v>
      </c>
      <c r="AA29">
        <v>42354</v>
      </c>
      <c r="AB29">
        <v>0</v>
      </c>
      <c r="AD29">
        <v>0</v>
      </c>
      <c r="AE29">
        <v>0</v>
      </c>
      <c r="AF29">
        <v>39864</v>
      </c>
      <c r="AG29">
        <v>82218</v>
      </c>
    </row>
    <row r="30" spans="1:33" x14ac:dyDescent="0.25">
      <c r="A30" t="s">
        <v>47</v>
      </c>
      <c r="B30" t="s">
        <v>48</v>
      </c>
      <c r="C30" t="s">
        <v>49</v>
      </c>
      <c r="D30" t="s">
        <v>50</v>
      </c>
      <c r="E30">
        <v>2006</v>
      </c>
      <c r="F30" t="s">
        <v>51</v>
      </c>
      <c r="G30" t="s">
        <v>52</v>
      </c>
      <c r="H30" t="s">
        <v>53</v>
      </c>
      <c r="I30" t="s">
        <v>54</v>
      </c>
      <c r="J30" t="s">
        <v>74</v>
      </c>
      <c r="K30" t="s">
        <v>56</v>
      </c>
      <c r="L30" t="s">
        <v>69</v>
      </c>
      <c r="M30" t="s">
        <v>141</v>
      </c>
      <c r="N30" t="s">
        <v>53</v>
      </c>
      <c r="O30" t="s">
        <v>54</v>
      </c>
      <c r="P30" t="s">
        <v>70</v>
      </c>
      <c r="Q30" t="s">
        <v>146</v>
      </c>
      <c r="R30">
        <v>2007</v>
      </c>
      <c r="S30" t="s">
        <v>147</v>
      </c>
      <c r="T30" t="s">
        <v>147</v>
      </c>
      <c r="U30">
        <v>5</v>
      </c>
      <c r="V30" t="s">
        <v>73</v>
      </c>
      <c r="W30" t="s">
        <v>63</v>
      </c>
      <c r="Y30">
        <v>1</v>
      </c>
      <c r="Z30" t="s">
        <v>83</v>
      </c>
      <c r="AA30">
        <v>40069</v>
      </c>
      <c r="AB30">
        <v>0</v>
      </c>
      <c r="AD30">
        <v>0</v>
      </c>
      <c r="AE30">
        <v>0</v>
      </c>
      <c r="AF30">
        <v>37713</v>
      </c>
      <c r="AG30">
        <v>77782</v>
      </c>
    </row>
    <row r="31" spans="1:33" x14ac:dyDescent="0.25">
      <c r="A31" t="s">
        <v>47</v>
      </c>
      <c r="B31" t="s">
        <v>48</v>
      </c>
      <c r="C31" t="s">
        <v>49</v>
      </c>
      <c r="D31" t="s">
        <v>50</v>
      </c>
      <c r="E31">
        <v>2007</v>
      </c>
      <c r="F31" t="s">
        <v>51</v>
      </c>
      <c r="G31" t="s">
        <v>52</v>
      </c>
      <c r="H31" t="s">
        <v>53</v>
      </c>
      <c r="I31" t="s">
        <v>54</v>
      </c>
      <c r="J31" t="s">
        <v>74</v>
      </c>
      <c r="K31" t="s">
        <v>56</v>
      </c>
      <c r="L31" t="s">
        <v>57</v>
      </c>
      <c r="M31" t="s">
        <v>58</v>
      </c>
      <c r="P31" t="s">
        <v>59</v>
      </c>
      <c r="Q31" t="s">
        <v>148</v>
      </c>
      <c r="R31">
        <v>2008</v>
      </c>
      <c r="S31" t="s">
        <v>149</v>
      </c>
      <c r="T31" t="s">
        <v>149</v>
      </c>
      <c r="U31">
        <v>4.3499999999999996</v>
      </c>
      <c r="V31" t="s">
        <v>62</v>
      </c>
      <c r="W31" t="s">
        <v>63</v>
      </c>
      <c r="X31" t="s">
        <v>150</v>
      </c>
      <c r="Y31">
        <v>1</v>
      </c>
      <c r="Z31" t="s">
        <v>83</v>
      </c>
      <c r="AA31">
        <v>42523</v>
      </c>
      <c r="AB31">
        <v>0</v>
      </c>
      <c r="AD31">
        <v>0</v>
      </c>
      <c r="AE31">
        <v>0</v>
      </c>
      <c r="AF31">
        <v>26477</v>
      </c>
      <c r="AG31">
        <v>69000</v>
      </c>
    </row>
    <row r="32" spans="1:33" x14ac:dyDescent="0.25">
      <c r="A32" t="s">
        <v>47</v>
      </c>
      <c r="B32" t="s">
        <v>48</v>
      </c>
      <c r="C32" t="s">
        <v>49</v>
      </c>
      <c r="D32" t="s">
        <v>50</v>
      </c>
      <c r="E32">
        <v>2007</v>
      </c>
      <c r="F32" t="s">
        <v>51</v>
      </c>
      <c r="G32" t="s">
        <v>52</v>
      </c>
      <c r="H32" t="s">
        <v>53</v>
      </c>
      <c r="I32" t="s">
        <v>54</v>
      </c>
      <c r="J32" t="s">
        <v>74</v>
      </c>
      <c r="K32" t="s">
        <v>56</v>
      </c>
      <c r="L32" t="s">
        <v>69</v>
      </c>
      <c r="M32" t="s">
        <v>141</v>
      </c>
      <c r="N32" t="s">
        <v>53</v>
      </c>
      <c r="O32" t="s">
        <v>54</v>
      </c>
      <c r="P32" t="s">
        <v>70</v>
      </c>
      <c r="Q32" t="s">
        <v>151</v>
      </c>
      <c r="R32">
        <v>2008</v>
      </c>
      <c r="S32" t="s">
        <v>152</v>
      </c>
      <c r="T32" t="s">
        <v>153</v>
      </c>
      <c r="U32">
        <v>4.32</v>
      </c>
      <c r="V32" t="s">
        <v>73</v>
      </c>
      <c r="W32" t="s">
        <v>63</v>
      </c>
      <c r="X32" t="s">
        <v>150</v>
      </c>
      <c r="Y32">
        <v>1</v>
      </c>
      <c r="Z32" t="s">
        <v>83</v>
      </c>
      <c r="AA32">
        <v>41430</v>
      </c>
      <c r="AB32">
        <v>0</v>
      </c>
      <c r="AD32">
        <v>0</v>
      </c>
      <c r="AE32">
        <v>0</v>
      </c>
      <c r="AF32">
        <v>87570</v>
      </c>
      <c r="AG32">
        <v>129000</v>
      </c>
    </row>
    <row r="33" spans="1:33" x14ac:dyDescent="0.25">
      <c r="A33" t="s">
        <v>47</v>
      </c>
      <c r="B33" t="s">
        <v>48</v>
      </c>
      <c r="C33" t="s">
        <v>49</v>
      </c>
      <c r="D33" t="s">
        <v>50</v>
      </c>
      <c r="E33">
        <v>2008</v>
      </c>
      <c r="F33" t="s">
        <v>51</v>
      </c>
      <c r="G33" t="s">
        <v>52</v>
      </c>
      <c r="H33" t="s">
        <v>53</v>
      </c>
      <c r="I33" t="s">
        <v>54</v>
      </c>
      <c r="J33" t="s">
        <v>74</v>
      </c>
      <c r="K33" t="s">
        <v>56</v>
      </c>
      <c r="L33" t="s">
        <v>57</v>
      </c>
      <c r="M33" t="s">
        <v>58</v>
      </c>
      <c r="P33" t="s">
        <v>59</v>
      </c>
      <c r="Q33" t="s">
        <v>154</v>
      </c>
      <c r="R33">
        <v>2009</v>
      </c>
      <c r="S33" t="s">
        <v>155</v>
      </c>
      <c r="T33" t="s">
        <v>155</v>
      </c>
      <c r="U33">
        <v>5.54</v>
      </c>
      <c r="V33" t="s">
        <v>62</v>
      </c>
      <c r="W33" t="s">
        <v>63</v>
      </c>
      <c r="X33" t="s">
        <v>156</v>
      </c>
      <c r="Y33">
        <v>1</v>
      </c>
      <c r="AA33">
        <v>0</v>
      </c>
      <c r="AB33">
        <v>0</v>
      </c>
      <c r="AD33">
        <v>0</v>
      </c>
      <c r="AE33">
        <v>0</v>
      </c>
      <c r="AF33">
        <v>37684</v>
      </c>
      <c r="AG33">
        <v>37684</v>
      </c>
    </row>
    <row r="34" spans="1:33" x14ac:dyDescent="0.25">
      <c r="A34" t="s">
        <v>47</v>
      </c>
      <c r="B34" t="s">
        <v>48</v>
      </c>
      <c r="C34" t="s">
        <v>49</v>
      </c>
      <c r="D34" t="s">
        <v>50</v>
      </c>
      <c r="E34">
        <v>2008</v>
      </c>
      <c r="F34" t="s">
        <v>51</v>
      </c>
      <c r="G34" t="s">
        <v>52</v>
      </c>
      <c r="H34" t="s">
        <v>53</v>
      </c>
      <c r="I34" t="s">
        <v>54</v>
      </c>
      <c r="J34" t="s">
        <v>74</v>
      </c>
      <c r="K34" t="s">
        <v>56</v>
      </c>
      <c r="L34" t="s">
        <v>69</v>
      </c>
      <c r="M34" t="s">
        <v>141</v>
      </c>
      <c r="N34" t="s">
        <v>53</v>
      </c>
      <c r="O34" t="s">
        <v>54</v>
      </c>
      <c r="P34" t="s">
        <v>70</v>
      </c>
      <c r="Q34" t="s">
        <v>157</v>
      </c>
      <c r="R34">
        <v>2009</v>
      </c>
      <c r="S34" t="s">
        <v>158</v>
      </c>
      <c r="T34" t="s">
        <v>159</v>
      </c>
      <c r="U34">
        <v>4.5</v>
      </c>
      <c r="V34" t="s">
        <v>73</v>
      </c>
      <c r="W34" t="s">
        <v>63</v>
      </c>
      <c r="Y34">
        <v>1</v>
      </c>
      <c r="AA34">
        <v>0</v>
      </c>
      <c r="AB34">
        <v>0</v>
      </c>
      <c r="AD34">
        <v>0</v>
      </c>
      <c r="AE34">
        <v>0</v>
      </c>
      <c r="AF34">
        <v>102527</v>
      </c>
      <c r="AG34">
        <v>102527</v>
      </c>
    </row>
    <row r="35" spans="1:33" x14ac:dyDescent="0.25">
      <c r="A35" t="s">
        <v>47</v>
      </c>
      <c r="B35" t="s">
        <v>48</v>
      </c>
      <c r="C35" t="s">
        <v>49</v>
      </c>
      <c r="D35" t="s">
        <v>50</v>
      </c>
      <c r="E35">
        <v>2009</v>
      </c>
      <c r="F35" t="s">
        <v>51</v>
      </c>
      <c r="G35" t="s">
        <v>52</v>
      </c>
      <c r="H35" t="s">
        <v>53</v>
      </c>
      <c r="I35" t="s">
        <v>54</v>
      </c>
      <c r="J35" t="s">
        <v>74</v>
      </c>
      <c r="K35" t="s">
        <v>56</v>
      </c>
      <c r="L35" t="s">
        <v>57</v>
      </c>
      <c r="M35" t="s">
        <v>58</v>
      </c>
      <c r="P35" t="s">
        <v>160</v>
      </c>
      <c r="Q35" t="s">
        <v>161</v>
      </c>
      <c r="R35">
        <v>2011</v>
      </c>
      <c r="S35" t="s">
        <v>162</v>
      </c>
      <c r="T35" t="s">
        <v>162</v>
      </c>
      <c r="U35">
        <v>11.8</v>
      </c>
      <c r="V35" t="s">
        <v>62</v>
      </c>
      <c r="W35" t="s">
        <v>63</v>
      </c>
      <c r="Y35">
        <v>1</v>
      </c>
      <c r="Z35" t="s">
        <v>83</v>
      </c>
      <c r="AA35">
        <v>23367</v>
      </c>
      <c r="AB35">
        <v>2</v>
      </c>
      <c r="AD35">
        <v>0</v>
      </c>
      <c r="AE35">
        <v>0</v>
      </c>
      <c r="AF35">
        <v>32</v>
      </c>
      <c r="AG35">
        <v>23401</v>
      </c>
    </row>
    <row r="36" spans="1:33" x14ac:dyDescent="0.25">
      <c r="A36" t="s">
        <v>47</v>
      </c>
      <c r="B36" t="s">
        <v>48</v>
      </c>
      <c r="C36" t="s">
        <v>49</v>
      </c>
      <c r="D36" t="s">
        <v>50</v>
      </c>
      <c r="E36">
        <v>2009</v>
      </c>
      <c r="F36" t="s">
        <v>51</v>
      </c>
      <c r="G36" t="s">
        <v>52</v>
      </c>
      <c r="H36" t="s">
        <v>53</v>
      </c>
      <c r="I36" t="s">
        <v>54</v>
      </c>
      <c r="J36" t="s">
        <v>74</v>
      </c>
      <c r="K36" t="s">
        <v>56</v>
      </c>
      <c r="L36" t="s">
        <v>57</v>
      </c>
      <c r="M36" t="s">
        <v>58</v>
      </c>
      <c r="P36" t="s">
        <v>59</v>
      </c>
      <c r="Q36" t="s">
        <v>163</v>
      </c>
      <c r="R36">
        <v>2010</v>
      </c>
      <c r="S36" t="s">
        <v>164</v>
      </c>
      <c r="T36" t="s">
        <v>164</v>
      </c>
      <c r="U36">
        <v>6.5</v>
      </c>
      <c r="V36" t="s">
        <v>62</v>
      </c>
      <c r="W36" t="s">
        <v>63</v>
      </c>
      <c r="X36" t="s">
        <v>165</v>
      </c>
      <c r="Y36">
        <v>1</v>
      </c>
      <c r="AA36">
        <v>0</v>
      </c>
      <c r="AB36">
        <v>0</v>
      </c>
      <c r="AD36">
        <v>0</v>
      </c>
      <c r="AE36">
        <v>0</v>
      </c>
      <c r="AF36">
        <v>57815</v>
      </c>
      <c r="AG36">
        <v>57815</v>
      </c>
    </row>
    <row r="37" spans="1:33" x14ac:dyDescent="0.25">
      <c r="A37" t="s">
        <v>47</v>
      </c>
      <c r="B37" t="s">
        <v>48</v>
      </c>
      <c r="C37" t="s">
        <v>49</v>
      </c>
      <c r="D37" t="s">
        <v>50</v>
      </c>
      <c r="E37">
        <v>2009</v>
      </c>
      <c r="F37" t="s">
        <v>51</v>
      </c>
      <c r="G37" t="s">
        <v>52</v>
      </c>
      <c r="H37" t="s">
        <v>53</v>
      </c>
      <c r="I37" t="s">
        <v>54</v>
      </c>
      <c r="J37" t="s">
        <v>74</v>
      </c>
      <c r="K37" t="s">
        <v>56</v>
      </c>
      <c r="L37" t="s">
        <v>69</v>
      </c>
      <c r="M37" t="s">
        <v>141</v>
      </c>
      <c r="N37" t="s">
        <v>53</v>
      </c>
      <c r="O37" t="s">
        <v>54</v>
      </c>
      <c r="P37" t="s">
        <v>166</v>
      </c>
      <c r="Q37" t="s">
        <v>167</v>
      </c>
      <c r="R37">
        <v>2011</v>
      </c>
      <c r="S37" t="s">
        <v>162</v>
      </c>
      <c r="T37" t="s">
        <v>162</v>
      </c>
      <c r="U37">
        <v>11.1</v>
      </c>
      <c r="V37" t="s">
        <v>62</v>
      </c>
      <c r="W37" t="s">
        <v>63</v>
      </c>
      <c r="Y37">
        <v>1</v>
      </c>
      <c r="Z37" t="s">
        <v>83</v>
      </c>
      <c r="AA37">
        <v>23895</v>
      </c>
      <c r="AB37">
        <v>2</v>
      </c>
      <c r="AD37">
        <v>0</v>
      </c>
      <c r="AE37">
        <v>0</v>
      </c>
      <c r="AF37">
        <v>28</v>
      </c>
      <c r="AG37">
        <v>23925</v>
      </c>
    </row>
    <row r="38" spans="1:33" x14ac:dyDescent="0.25">
      <c r="A38" t="s">
        <v>47</v>
      </c>
      <c r="B38" t="s">
        <v>48</v>
      </c>
      <c r="C38" t="s">
        <v>49</v>
      </c>
      <c r="D38" t="s">
        <v>50</v>
      </c>
      <c r="E38">
        <v>2009</v>
      </c>
      <c r="F38" t="s">
        <v>51</v>
      </c>
      <c r="G38" t="s">
        <v>52</v>
      </c>
      <c r="H38" t="s">
        <v>53</v>
      </c>
      <c r="I38" t="s">
        <v>54</v>
      </c>
      <c r="J38" t="s">
        <v>74</v>
      </c>
      <c r="K38" t="s">
        <v>56</v>
      </c>
      <c r="L38" t="s">
        <v>69</v>
      </c>
      <c r="M38" t="s">
        <v>141</v>
      </c>
      <c r="N38" t="s">
        <v>53</v>
      </c>
      <c r="O38" t="s">
        <v>54</v>
      </c>
      <c r="P38" t="s">
        <v>70</v>
      </c>
      <c r="Q38" t="s">
        <v>168</v>
      </c>
      <c r="R38">
        <v>2010</v>
      </c>
      <c r="S38" t="s">
        <v>164</v>
      </c>
      <c r="T38" t="s">
        <v>164</v>
      </c>
      <c r="U38">
        <v>6.5</v>
      </c>
      <c r="V38" t="s">
        <v>73</v>
      </c>
      <c r="W38" t="s">
        <v>63</v>
      </c>
      <c r="X38" t="s">
        <v>165</v>
      </c>
      <c r="Y38">
        <v>1</v>
      </c>
      <c r="AA38">
        <v>0</v>
      </c>
      <c r="AB38">
        <v>0</v>
      </c>
      <c r="AD38">
        <v>0</v>
      </c>
      <c r="AE38">
        <v>0</v>
      </c>
      <c r="AF38">
        <v>66785</v>
      </c>
      <c r="AG38">
        <v>66785</v>
      </c>
    </row>
    <row r="39" spans="1:33" x14ac:dyDescent="0.25">
      <c r="A39" t="s">
        <v>47</v>
      </c>
      <c r="B39" t="s">
        <v>48</v>
      </c>
      <c r="C39" t="s">
        <v>49</v>
      </c>
      <c r="D39" t="s">
        <v>50</v>
      </c>
      <c r="E39">
        <v>2010</v>
      </c>
      <c r="F39" t="s">
        <v>51</v>
      </c>
      <c r="G39" t="s">
        <v>52</v>
      </c>
      <c r="H39" t="s">
        <v>53</v>
      </c>
      <c r="I39" t="s">
        <v>54</v>
      </c>
      <c r="J39" t="s">
        <v>74</v>
      </c>
      <c r="K39" t="s">
        <v>56</v>
      </c>
      <c r="L39" t="s">
        <v>57</v>
      </c>
      <c r="M39" t="s">
        <v>58</v>
      </c>
      <c r="P39" t="s">
        <v>59</v>
      </c>
      <c r="Q39" t="s">
        <v>169</v>
      </c>
      <c r="R39">
        <v>2011</v>
      </c>
      <c r="S39" t="s">
        <v>170</v>
      </c>
      <c r="T39" t="s">
        <v>170</v>
      </c>
      <c r="U39">
        <v>6.2</v>
      </c>
      <c r="V39" t="s">
        <v>62</v>
      </c>
      <c r="W39" t="s">
        <v>63</v>
      </c>
      <c r="X39" t="s">
        <v>171</v>
      </c>
      <c r="Y39">
        <v>1</v>
      </c>
      <c r="Z39" t="s">
        <v>83</v>
      </c>
      <c r="AA39">
        <v>49705</v>
      </c>
      <c r="AB39">
        <v>502</v>
      </c>
      <c r="AD39">
        <v>0</v>
      </c>
      <c r="AE39">
        <v>0</v>
      </c>
      <c r="AF39">
        <v>18761</v>
      </c>
      <c r="AG39">
        <v>68968</v>
      </c>
    </row>
    <row r="40" spans="1:33" x14ac:dyDescent="0.25">
      <c r="A40" t="s">
        <v>47</v>
      </c>
      <c r="B40" t="s">
        <v>48</v>
      </c>
      <c r="C40" t="s">
        <v>49</v>
      </c>
      <c r="D40" t="s">
        <v>50</v>
      </c>
      <c r="E40">
        <v>2010</v>
      </c>
      <c r="F40" t="s">
        <v>51</v>
      </c>
      <c r="G40" t="s">
        <v>52</v>
      </c>
      <c r="H40" t="s">
        <v>53</v>
      </c>
      <c r="I40" t="s">
        <v>54</v>
      </c>
      <c r="J40" t="s">
        <v>74</v>
      </c>
      <c r="K40" t="s">
        <v>56</v>
      </c>
      <c r="L40" t="s">
        <v>69</v>
      </c>
      <c r="M40" t="s">
        <v>141</v>
      </c>
      <c r="N40" t="s">
        <v>53</v>
      </c>
      <c r="O40" t="s">
        <v>54</v>
      </c>
      <c r="P40" t="s">
        <v>166</v>
      </c>
      <c r="Q40" t="s">
        <v>172</v>
      </c>
      <c r="R40">
        <v>2012</v>
      </c>
      <c r="S40" t="s">
        <v>173</v>
      </c>
      <c r="T40" t="s">
        <v>173</v>
      </c>
      <c r="U40">
        <v>20.440000000000001</v>
      </c>
      <c r="V40" t="s">
        <v>62</v>
      </c>
      <c r="W40" t="s">
        <v>63</v>
      </c>
      <c r="Y40">
        <v>1</v>
      </c>
      <c r="Z40" t="s">
        <v>83</v>
      </c>
      <c r="AA40">
        <v>39300</v>
      </c>
      <c r="AB40">
        <v>0</v>
      </c>
      <c r="AD40">
        <v>0</v>
      </c>
      <c r="AE40">
        <v>0</v>
      </c>
      <c r="AG40">
        <v>39300</v>
      </c>
    </row>
    <row r="41" spans="1:33" x14ac:dyDescent="0.25">
      <c r="A41" t="s">
        <v>47</v>
      </c>
      <c r="B41" t="s">
        <v>48</v>
      </c>
      <c r="C41" t="s">
        <v>49</v>
      </c>
      <c r="D41" t="s">
        <v>50</v>
      </c>
      <c r="E41">
        <v>2010</v>
      </c>
      <c r="F41" t="s">
        <v>51</v>
      </c>
      <c r="G41" t="s">
        <v>52</v>
      </c>
      <c r="H41" t="s">
        <v>53</v>
      </c>
      <c r="I41" t="s">
        <v>54</v>
      </c>
      <c r="J41" t="s">
        <v>74</v>
      </c>
      <c r="K41" t="s">
        <v>56</v>
      </c>
      <c r="L41" t="s">
        <v>69</v>
      </c>
      <c r="M41" t="s">
        <v>51</v>
      </c>
      <c r="N41" t="s">
        <v>53</v>
      </c>
      <c r="O41" t="s">
        <v>54</v>
      </c>
      <c r="P41" t="s">
        <v>70</v>
      </c>
      <c r="Q41" t="s">
        <v>174</v>
      </c>
      <c r="R41">
        <v>2011</v>
      </c>
      <c r="S41" t="s">
        <v>170</v>
      </c>
      <c r="T41" t="s">
        <v>170</v>
      </c>
      <c r="U41">
        <v>4.0999999999999996</v>
      </c>
      <c r="V41" t="s">
        <v>73</v>
      </c>
      <c r="W41" t="s">
        <v>63</v>
      </c>
      <c r="X41" t="s">
        <v>171</v>
      </c>
      <c r="Y41">
        <v>1</v>
      </c>
      <c r="Z41" t="s">
        <v>83</v>
      </c>
      <c r="AA41">
        <v>49774</v>
      </c>
      <c r="AB41">
        <v>503</v>
      </c>
      <c r="AD41">
        <v>0</v>
      </c>
      <c r="AE41">
        <v>0</v>
      </c>
      <c r="AF41">
        <v>17309</v>
      </c>
      <c r="AG41">
        <v>67586</v>
      </c>
    </row>
    <row r="42" spans="1:33" x14ac:dyDescent="0.25">
      <c r="A42" t="s">
        <v>47</v>
      </c>
      <c r="B42" t="s">
        <v>48</v>
      </c>
      <c r="C42" t="s">
        <v>49</v>
      </c>
      <c r="D42" t="s">
        <v>50</v>
      </c>
      <c r="E42">
        <v>2011</v>
      </c>
      <c r="F42" t="s">
        <v>51</v>
      </c>
      <c r="G42" t="s">
        <v>52</v>
      </c>
      <c r="H42" t="s">
        <v>53</v>
      </c>
      <c r="I42" t="s">
        <v>54</v>
      </c>
      <c r="J42" t="s">
        <v>74</v>
      </c>
      <c r="K42" t="s">
        <v>56</v>
      </c>
      <c r="L42" t="s">
        <v>69</v>
      </c>
      <c r="M42" t="s">
        <v>141</v>
      </c>
      <c r="N42" t="s">
        <v>53</v>
      </c>
      <c r="O42" t="s">
        <v>54</v>
      </c>
      <c r="P42" t="s">
        <v>70</v>
      </c>
      <c r="Q42" t="s">
        <v>175</v>
      </c>
      <c r="R42">
        <v>2012</v>
      </c>
      <c r="S42" t="s">
        <v>176</v>
      </c>
      <c r="T42" t="s">
        <v>176</v>
      </c>
      <c r="U42">
        <v>4</v>
      </c>
      <c r="V42" t="s">
        <v>73</v>
      </c>
      <c r="W42" t="s">
        <v>63</v>
      </c>
      <c r="Y42">
        <v>1</v>
      </c>
      <c r="Z42" t="s">
        <v>83</v>
      </c>
      <c r="AA42">
        <v>46326</v>
      </c>
      <c r="AB42">
        <v>0</v>
      </c>
      <c r="AD42">
        <v>0</v>
      </c>
      <c r="AE42">
        <v>0</v>
      </c>
      <c r="AF42">
        <v>4958</v>
      </c>
      <c r="AG42">
        <v>51284</v>
      </c>
    </row>
    <row r="43" spans="1:33" x14ac:dyDescent="0.25">
      <c r="A43" t="s">
        <v>47</v>
      </c>
      <c r="B43" t="s">
        <v>48</v>
      </c>
      <c r="C43" t="s">
        <v>49</v>
      </c>
      <c r="D43" t="s">
        <v>50</v>
      </c>
      <c r="E43">
        <v>2011</v>
      </c>
      <c r="F43" t="s">
        <v>51</v>
      </c>
      <c r="G43" t="s">
        <v>52</v>
      </c>
      <c r="H43" t="s">
        <v>53</v>
      </c>
      <c r="I43" t="s">
        <v>54</v>
      </c>
      <c r="J43" t="s">
        <v>74</v>
      </c>
      <c r="K43" t="s">
        <v>56</v>
      </c>
      <c r="L43" t="s">
        <v>69</v>
      </c>
      <c r="M43" t="s">
        <v>141</v>
      </c>
      <c r="N43" t="s">
        <v>53</v>
      </c>
      <c r="O43" t="s">
        <v>54</v>
      </c>
      <c r="P43" t="s">
        <v>70</v>
      </c>
      <c r="Q43" t="s">
        <v>177</v>
      </c>
      <c r="R43">
        <v>2012</v>
      </c>
      <c r="S43" t="s">
        <v>176</v>
      </c>
      <c r="T43" t="s">
        <v>176</v>
      </c>
      <c r="U43">
        <v>4</v>
      </c>
      <c r="V43" t="s">
        <v>73</v>
      </c>
      <c r="W43" t="s">
        <v>63</v>
      </c>
      <c r="Y43">
        <v>1</v>
      </c>
      <c r="Z43" t="s">
        <v>83</v>
      </c>
      <c r="AA43">
        <v>34778</v>
      </c>
      <c r="AB43">
        <v>0</v>
      </c>
      <c r="AD43">
        <v>0</v>
      </c>
      <c r="AE43">
        <v>0</v>
      </c>
      <c r="AF43">
        <v>3722</v>
      </c>
      <c r="AG43">
        <v>38500</v>
      </c>
    </row>
    <row r="44" spans="1:33" x14ac:dyDescent="0.25">
      <c r="A44" t="s">
        <v>47</v>
      </c>
      <c r="B44" t="s">
        <v>48</v>
      </c>
      <c r="C44" t="s">
        <v>49</v>
      </c>
      <c r="D44" t="s">
        <v>50</v>
      </c>
      <c r="E44">
        <v>2012</v>
      </c>
      <c r="F44" t="s">
        <v>51</v>
      </c>
      <c r="G44" t="s">
        <v>52</v>
      </c>
      <c r="H44" t="s">
        <v>53</v>
      </c>
      <c r="I44" t="s">
        <v>54</v>
      </c>
      <c r="J44" t="s">
        <v>74</v>
      </c>
      <c r="K44" t="s">
        <v>56</v>
      </c>
      <c r="L44" t="s">
        <v>69</v>
      </c>
      <c r="M44" t="s">
        <v>141</v>
      </c>
      <c r="N44" t="s">
        <v>53</v>
      </c>
      <c r="O44" t="s">
        <v>54</v>
      </c>
      <c r="P44" t="s">
        <v>166</v>
      </c>
      <c r="Q44" t="s">
        <v>178</v>
      </c>
      <c r="R44">
        <v>2014</v>
      </c>
      <c r="S44" t="s">
        <v>179</v>
      </c>
      <c r="T44" t="s">
        <v>179</v>
      </c>
      <c r="U44">
        <v>20</v>
      </c>
      <c r="V44" t="s">
        <v>180</v>
      </c>
      <c r="W44" t="s">
        <v>63</v>
      </c>
      <c r="Y44">
        <v>1</v>
      </c>
      <c r="Z44" t="s">
        <v>83</v>
      </c>
      <c r="AA44">
        <v>3824</v>
      </c>
      <c r="AB44">
        <v>0</v>
      </c>
      <c r="AD44">
        <v>0</v>
      </c>
      <c r="AE44">
        <v>0</v>
      </c>
      <c r="AG44">
        <v>3824</v>
      </c>
    </row>
    <row r="45" spans="1:33" x14ac:dyDescent="0.25">
      <c r="A45" t="s">
        <v>47</v>
      </c>
      <c r="B45" t="s">
        <v>48</v>
      </c>
      <c r="C45" t="s">
        <v>49</v>
      </c>
      <c r="D45" t="s">
        <v>50</v>
      </c>
      <c r="E45">
        <v>2012</v>
      </c>
      <c r="F45" t="s">
        <v>51</v>
      </c>
      <c r="G45" t="s">
        <v>52</v>
      </c>
      <c r="H45" t="s">
        <v>53</v>
      </c>
      <c r="I45" t="s">
        <v>54</v>
      </c>
      <c r="J45" t="s">
        <v>74</v>
      </c>
      <c r="K45" t="s">
        <v>56</v>
      </c>
      <c r="L45" t="s">
        <v>69</v>
      </c>
      <c r="M45" t="s">
        <v>141</v>
      </c>
      <c r="N45" t="s">
        <v>53</v>
      </c>
      <c r="O45" t="s">
        <v>54</v>
      </c>
      <c r="P45" t="s">
        <v>166</v>
      </c>
      <c r="Q45" t="s">
        <v>181</v>
      </c>
      <c r="R45">
        <v>2014</v>
      </c>
      <c r="S45" t="s">
        <v>179</v>
      </c>
      <c r="T45" t="s">
        <v>179</v>
      </c>
      <c r="U45">
        <v>20</v>
      </c>
      <c r="V45" t="s">
        <v>180</v>
      </c>
      <c r="W45" t="s">
        <v>63</v>
      </c>
      <c r="Y45">
        <v>1</v>
      </c>
      <c r="Z45" t="s">
        <v>83</v>
      </c>
      <c r="AA45">
        <v>4655</v>
      </c>
      <c r="AB45">
        <v>0</v>
      </c>
      <c r="AD45">
        <v>0</v>
      </c>
      <c r="AE45">
        <v>0</v>
      </c>
      <c r="AG45">
        <v>4655</v>
      </c>
    </row>
    <row r="46" spans="1:33" x14ac:dyDescent="0.25">
      <c r="A46" t="s">
        <v>47</v>
      </c>
      <c r="B46" t="s">
        <v>48</v>
      </c>
      <c r="C46" t="s">
        <v>49</v>
      </c>
      <c r="D46" t="s">
        <v>50</v>
      </c>
      <c r="E46">
        <v>2012</v>
      </c>
      <c r="F46" t="s">
        <v>51</v>
      </c>
      <c r="G46" t="s">
        <v>52</v>
      </c>
      <c r="H46" t="s">
        <v>53</v>
      </c>
      <c r="I46" t="s">
        <v>54</v>
      </c>
      <c r="J46" t="s">
        <v>74</v>
      </c>
      <c r="K46" t="s">
        <v>56</v>
      </c>
      <c r="L46" t="s">
        <v>69</v>
      </c>
      <c r="M46" t="s">
        <v>141</v>
      </c>
      <c r="N46" t="s">
        <v>53</v>
      </c>
      <c r="O46" t="s">
        <v>54</v>
      </c>
      <c r="P46" t="s">
        <v>70</v>
      </c>
      <c r="Q46" t="s">
        <v>182</v>
      </c>
      <c r="R46">
        <v>2013</v>
      </c>
      <c r="S46" t="s">
        <v>183</v>
      </c>
      <c r="T46" t="s">
        <v>183</v>
      </c>
      <c r="U46">
        <v>5.66</v>
      </c>
      <c r="V46" t="s">
        <v>73</v>
      </c>
      <c r="W46" t="s">
        <v>63</v>
      </c>
      <c r="Y46">
        <v>1</v>
      </c>
      <c r="Z46" t="s">
        <v>83</v>
      </c>
      <c r="AA46">
        <v>58292</v>
      </c>
      <c r="AB46">
        <v>0</v>
      </c>
      <c r="AD46">
        <v>0</v>
      </c>
      <c r="AE46">
        <v>0</v>
      </c>
      <c r="AF46">
        <v>6269</v>
      </c>
      <c r="AG46">
        <v>64561</v>
      </c>
    </row>
    <row r="47" spans="1:33" x14ac:dyDescent="0.25">
      <c r="A47" t="s">
        <v>47</v>
      </c>
      <c r="B47" t="s">
        <v>48</v>
      </c>
      <c r="C47" t="s">
        <v>49</v>
      </c>
      <c r="D47" t="s">
        <v>50</v>
      </c>
      <c r="E47">
        <v>2012</v>
      </c>
      <c r="F47" t="s">
        <v>51</v>
      </c>
      <c r="G47" t="s">
        <v>52</v>
      </c>
      <c r="H47" t="s">
        <v>53</v>
      </c>
      <c r="I47" t="s">
        <v>54</v>
      </c>
      <c r="J47" t="s">
        <v>74</v>
      </c>
      <c r="K47" t="s">
        <v>56</v>
      </c>
      <c r="L47" t="s">
        <v>69</v>
      </c>
      <c r="M47" t="s">
        <v>141</v>
      </c>
      <c r="N47" t="s">
        <v>53</v>
      </c>
      <c r="O47" t="s">
        <v>54</v>
      </c>
      <c r="P47" t="s">
        <v>70</v>
      </c>
      <c r="Q47" t="s">
        <v>184</v>
      </c>
      <c r="R47">
        <v>2013</v>
      </c>
      <c r="S47" t="s">
        <v>183</v>
      </c>
      <c r="T47" t="s">
        <v>183</v>
      </c>
      <c r="U47">
        <v>5.66</v>
      </c>
      <c r="V47" t="s">
        <v>73</v>
      </c>
      <c r="W47" t="s">
        <v>63</v>
      </c>
      <c r="Y47">
        <v>1</v>
      </c>
      <c r="Z47" t="s">
        <v>83</v>
      </c>
      <c r="AA47">
        <v>40044</v>
      </c>
      <c r="AB47">
        <v>0</v>
      </c>
      <c r="AD47">
        <v>0</v>
      </c>
      <c r="AE47">
        <v>0</v>
      </c>
      <c r="AF47">
        <v>4306</v>
      </c>
      <c r="AG47">
        <v>44350</v>
      </c>
    </row>
    <row r="48" spans="1:33" x14ac:dyDescent="0.25">
      <c r="A48" t="s">
        <v>47</v>
      </c>
      <c r="B48" t="s">
        <v>48</v>
      </c>
      <c r="C48" t="s">
        <v>49</v>
      </c>
      <c r="D48" t="s">
        <v>50</v>
      </c>
      <c r="E48">
        <v>2012</v>
      </c>
      <c r="F48" t="s">
        <v>51</v>
      </c>
      <c r="G48" t="s">
        <v>52</v>
      </c>
      <c r="H48" t="s">
        <v>53</v>
      </c>
      <c r="I48" t="s">
        <v>54</v>
      </c>
      <c r="J48" t="s">
        <v>74</v>
      </c>
      <c r="K48" t="s">
        <v>56</v>
      </c>
      <c r="L48" t="s">
        <v>69</v>
      </c>
      <c r="M48" t="s">
        <v>141</v>
      </c>
      <c r="N48" t="s">
        <v>53</v>
      </c>
      <c r="O48" t="s">
        <v>54</v>
      </c>
      <c r="P48" t="s">
        <v>70</v>
      </c>
      <c r="Q48" t="s">
        <v>185</v>
      </c>
      <c r="R48">
        <v>2013</v>
      </c>
      <c r="S48" t="s">
        <v>183</v>
      </c>
      <c r="T48" t="s">
        <v>183</v>
      </c>
      <c r="U48">
        <v>5.66</v>
      </c>
      <c r="V48" t="s">
        <v>73</v>
      </c>
      <c r="W48" t="s">
        <v>63</v>
      </c>
      <c r="Y48">
        <v>1</v>
      </c>
      <c r="Z48" t="s">
        <v>83</v>
      </c>
      <c r="AA48">
        <v>55671</v>
      </c>
      <c r="AB48">
        <v>704</v>
      </c>
      <c r="AD48">
        <v>0</v>
      </c>
      <c r="AE48">
        <v>0</v>
      </c>
      <c r="AF48">
        <v>5987</v>
      </c>
      <c r="AG48">
        <v>62362</v>
      </c>
    </row>
    <row r="49" spans="1:33" x14ac:dyDescent="0.25">
      <c r="A49" t="s">
        <v>47</v>
      </c>
      <c r="B49" t="s">
        <v>48</v>
      </c>
      <c r="C49" t="s">
        <v>49</v>
      </c>
      <c r="D49" t="s">
        <v>50</v>
      </c>
      <c r="E49">
        <v>2012</v>
      </c>
      <c r="F49" t="s">
        <v>51</v>
      </c>
      <c r="G49" t="s">
        <v>52</v>
      </c>
      <c r="H49" t="s">
        <v>53</v>
      </c>
      <c r="I49" t="s">
        <v>54</v>
      </c>
      <c r="J49" t="s">
        <v>74</v>
      </c>
      <c r="K49" t="s">
        <v>56</v>
      </c>
      <c r="L49" t="s">
        <v>69</v>
      </c>
      <c r="M49" t="s">
        <v>141</v>
      </c>
      <c r="N49" t="s">
        <v>53</v>
      </c>
      <c r="O49" t="s">
        <v>54</v>
      </c>
      <c r="P49" t="s">
        <v>166</v>
      </c>
      <c r="Q49" t="s">
        <v>186</v>
      </c>
      <c r="R49">
        <v>2014</v>
      </c>
      <c r="S49" t="s">
        <v>179</v>
      </c>
      <c r="T49" t="s">
        <v>179</v>
      </c>
      <c r="U49">
        <v>20</v>
      </c>
      <c r="V49" t="s">
        <v>180</v>
      </c>
      <c r="W49" t="s">
        <v>63</v>
      </c>
      <c r="Y49">
        <v>1</v>
      </c>
      <c r="Z49" t="s">
        <v>83</v>
      </c>
      <c r="AA49">
        <v>40550</v>
      </c>
      <c r="AB49">
        <v>0</v>
      </c>
      <c r="AD49">
        <v>0</v>
      </c>
      <c r="AE49">
        <v>0</v>
      </c>
      <c r="AG49">
        <v>40550</v>
      </c>
    </row>
    <row r="50" spans="1:33" x14ac:dyDescent="0.25">
      <c r="A50" t="s">
        <v>47</v>
      </c>
      <c r="B50" t="s">
        <v>48</v>
      </c>
      <c r="C50" t="s">
        <v>49</v>
      </c>
      <c r="D50" t="s">
        <v>50</v>
      </c>
      <c r="E50">
        <v>2013</v>
      </c>
      <c r="F50" t="s">
        <v>51</v>
      </c>
      <c r="G50" t="s">
        <v>52</v>
      </c>
      <c r="H50" t="s">
        <v>53</v>
      </c>
      <c r="I50" t="s">
        <v>54</v>
      </c>
      <c r="J50" t="s">
        <v>74</v>
      </c>
      <c r="K50" t="s">
        <v>56</v>
      </c>
      <c r="L50" t="s">
        <v>69</v>
      </c>
      <c r="M50" t="s">
        <v>141</v>
      </c>
      <c r="N50" t="s">
        <v>53</v>
      </c>
      <c r="O50" t="s">
        <v>54</v>
      </c>
      <c r="P50" t="s">
        <v>166</v>
      </c>
      <c r="Q50" t="s">
        <v>187</v>
      </c>
      <c r="R50">
        <v>2015</v>
      </c>
      <c r="S50" t="s">
        <v>188</v>
      </c>
      <c r="T50" t="s">
        <v>188</v>
      </c>
      <c r="V50" t="s">
        <v>73</v>
      </c>
      <c r="W50" t="s">
        <v>63</v>
      </c>
      <c r="Y50">
        <v>1</v>
      </c>
      <c r="Z50" t="s">
        <v>83</v>
      </c>
      <c r="AA50">
        <v>35713</v>
      </c>
      <c r="AB50">
        <v>0</v>
      </c>
      <c r="AD50">
        <v>0</v>
      </c>
      <c r="AE50">
        <v>0</v>
      </c>
      <c r="AF50">
        <v>254</v>
      </c>
      <c r="AG50">
        <v>35967</v>
      </c>
    </row>
    <row r="51" spans="1:33" x14ac:dyDescent="0.25">
      <c r="A51" t="s">
        <v>47</v>
      </c>
      <c r="B51" t="s">
        <v>48</v>
      </c>
      <c r="C51" t="s">
        <v>49</v>
      </c>
      <c r="D51" t="s">
        <v>50</v>
      </c>
      <c r="E51">
        <v>2013</v>
      </c>
      <c r="F51" t="s">
        <v>51</v>
      </c>
      <c r="G51" t="s">
        <v>52</v>
      </c>
      <c r="H51" t="s">
        <v>53</v>
      </c>
      <c r="I51" t="s">
        <v>54</v>
      </c>
      <c r="J51" t="s">
        <v>74</v>
      </c>
      <c r="K51" t="s">
        <v>56</v>
      </c>
      <c r="L51" t="s">
        <v>69</v>
      </c>
      <c r="M51" t="s">
        <v>141</v>
      </c>
      <c r="N51" t="s">
        <v>53</v>
      </c>
      <c r="O51" t="s">
        <v>54</v>
      </c>
      <c r="P51" t="s">
        <v>70</v>
      </c>
      <c r="Q51" t="s">
        <v>189</v>
      </c>
      <c r="R51">
        <v>2014</v>
      </c>
      <c r="S51" t="s">
        <v>190</v>
      </c>
      <c r="T51" t="s">
        <v>191</v>
      </c>
      <c r="U51">
        <v>4.5</v>
      </c>
      <c r="V51" t="s">
        <v>73</v>
      </c>
      <c r="W51" t="s">
        <v>63</v>
      </c>
      <c r="Y51">
        <v>1</v>
      </c>
      <c r="Z51" t="s">
        <v>83</v>
      </c>
      <c r="AA51">
        <v>57264</v>
      </c>
      <c r="AB51">
        <v>288</v>
      </c>
      <c r="AD51">
        <v>0</v>
      </c>
      <c r="AE51">
        <v>0</v>
      </c>
      <c r="AF51">
        <v>5969</v>
      </c>
      <c r="AG51">
        <v>63521</v>
      </c>
    </row>
    <row r="52" spans="1:33" x14ac:dyDescent="0.25">
      <c r="A52" t="s">
        <v>47</v>
      </c>
      <c r="B52" t="s">
        <v>48</v>
      </c>
      <c r="C52" t="s">
        <v>49</v>
      </c>
      <c r="D52" t="s">
        <v>50</v>
      </c>
      <c r="E52">
        <v>2013</v>
      </c>
      <c r="F52" t="s">
        <v>51</v>
      </c>
      <c r="G52" t="s">
        <v>52</v>
      </c>
      <c r="H52" t="s">
        <v>53</v>
      </c>
      <c r="I52" t="s">
        <v>54</v>
      </c>
      <c r="J52" t="s">
        <v>74</v>
      </c>
      <c r="K52" t="s">
        <v>56</v>
      </c>
      <c r="L52" t="s">
        <v>69</v>
      </c>
      <c r="M52" t="s">
        <v>141</v>
      </c>
      <c r="N52" t="s">
        <v>53</v>
      </c>
      <c r="O52" t="s">
        <v>54</v>
      </c>
      <c r="P52" t="s">
        <v>70</v>
      </c>
      <c r="Q52" t="s">
        <v>192</v>
      </c>
      <c r="R52">
        <v>2014</v>
      </c>
      <c r="S52" t="s">
        <v>190</v>
      </c>
      <c r="T52" t="s">
        <v>191</v>
      </c>
      <c r="U52">
        <v>4.5</v>
      </c>
      <c r="V52" t="s">
        <v>73</v>
      </c>
      <c r="W52" t="s">
        <v>63</v>
      </c>
      <c r="Y52">
        <v>1</v>
      </c>
      <c r="Z52" t="s">
        <v>83</v>
      </c>
      <c r="AA52">
        <v>57568</v>
      </c>
      <c r="AB52">
        <v>0</v>
      </c>
      <c r="AD52">
        <v>0</v>
      </c>
      <c r="AE52">
        <v>0</v>
      </c>
      <c r="AF52">
        <v>5971</v>
      </c>
      <c r="AG52">
        <v>63539</v>
      </c>
    </row>
    <row r="53" spans="1:33" x14ac:dyDescent="0.25">
      <c r="A53" t="s">
        <v>47</v>
      </c>
      <c r="B53" t="s">
        <v>48</v>
      </c>
      <c r="C53" t="s">
        <v>49</v>
      </c>
      <c r="D53" t="s">
        <v>50</v>
      </c>
      <c r="E53">
        <v>2013</v>
      </c>
      <c r="F53" t="s">
        <v>51</v>
      </c>
      <c r="G53" t="s">
        <v>52</v>
      </c>
      <c r="H53" t="s">
        <v>53</v>
      </c>
      <c r="I53" t="s">
        <v>54</v>
      </c>
      <c r="J53" t="s">
        <v>74</v>
      </c>
      <c r="K53" t="s">
        <v>56</v>
      </c>
      <c r="L53" t="s">
        <v>69</v>
      </c>
      <c r="M53" t="s">
        <v>141</v>
      </c>
      <c r="N53" t="s">
        <v>53</v>
      </c>
      <c r="O53" t="s">
        <v>54</v>
      </c>
      <c r="P53" t="s">
        <v>70</v>
      </c>
      <c r="Q53" t="s">
        <v>193</v>
      </c>
      <c r="R53">
        <v>2014</v>
      </c>
      <c r="S53" t="s">
        <v>190</v>
      </c>
      <c r="T53" t="s">
        <v>191</v>
      </c>
      <c r="U53">
        <v>4.5</v>
      </c>
      <c r="V53" t="s">
        <v>73</v>
      </c>
      <c r="W53" t="s">
        <v>63</v>
      </c>
      <c r="Y53">
        <v>1</v>
      </c>
      <c r="Z53" t="s">
        <v>83</v>
      </c>
      <c r="AA53">
        <v>29175</v>
      </c>
      <c r="AB53">
        <v>73</v>
      </c>
      <c r="AD53">
        <v>0</v>
      </c>
      <c r="AE53">
        <v>0</v>
      </c>
      <c r="AF53">
        <v>3033</v>
      </c>
      <c r="AG53">
        <v>32281</v>
      </c>
    </row>
    <row r="54" spans="1:33" x14ac:dyDescent="0.25">
      <c r="A54" t="s">
        <v>47</v>
      </c>
      <c r="B54" t="s">
        <v>48</v>
      </c>
      <c r="C54" t="s">
        <v>49</v>
      </c>
      <c r="D54" t="s">
        <v>50</v>
      </c>
      <c r="E54">
        <v>2014</v>
      </c>
      <c r="F54" t="s">
        <v>51</v>
      </c>
      <c r="G54" t="s">
        <v>52</v>
      </c>
      <c r="H54" t="s">
        <v>53</v>
      </c>
      <c r="I54" t="s">
        <v>54</v>
      </c>
      <c r="J54" t="s">
        <v>74</v>
      </c>
      <c r="K54" t="s">
        <v>56</v>
      </c>
      <c r="L54" t="s">
        <v>69</v>
      </c>
      <c r="M54" t="s">
        <v>141</v>
      </c>
      <c r="N54" t="s">
        <v>53</v>
      </c>
      <c r="O54" t="s">
        <v>54</v>
      </c>
      <c r="P54" t="s">
        <v>70</v>
      </c>
      <c r="Q54" t="s">
        <v>194</v>
      </c>
      <c r="R54">
        <v>2015</v>
      </c>
      <c r="S54" t="s">
        <v>195</v>
      </c>
      <c r="T54" t="s">
        <v>195</v>
      </c>
      <c r="U54">
        <v>4.1500000000000004</v>
      </c>
      <c r="V54" t="s">
        <v>73</v>
      </c>
      <c r="W54" t="s">
        <v>63</v>
      </c>
      <c r="Y54">
        <v>1</v>
      </c>
      <c r="Z54" t="s">
        <v>83</v>
      </c>
      <c r="AA54">
        <v>10530</v>
      </c>
      <c r="AB54">
        <v>0</v>
      </c>
      <c r="AD54">
        <v>0</v>
      </c>
      <c r="AE54">
        <v>0</v>
      </c>
      <c r="AG54">
        <v>10530</v>
      </c>
    </row>
    <row r="55" spans="1:33" x14ac:dyDescent="0.25">
      <c r="A55" t="s">
        <v>47</v>
      </c>
      <c r="B55" t="s">
        <v>48</v>
      </c>
      <c r="C55" t="s">
        <v>49</v>
      </c>
      <c r="D55" t="s">
        <v>50</v>
      </c>
      <c r="E55">
        <v>2014</v>
      </c>
      <c r="F55" t="s">
        <v>51</v>
      </c>
      <c r="G55" t="s">
        <v>52</v>
      </c>
      <c r="H55" t="s">
        <v>53</v>
      </c>
      <c r="I55" t="s">
        <v>54</v>
      </c>
      <c r="J55" t="s">
        <v>74</v>
      </c>
      <c r="K55" t="s">
        <v>56</v>
      </c>
      <c r="L55" t="s">
        <v>69</v>
      </c>
      <c r="M55" t="s">
        <v>141</v>
      </c>
      <c r="N55" t="s">
        <v>53</v>
      </c>
      <c r="O55" t="s">
        <v>54</v>
      </c>
      <c r="P55" t="s">
        <v>70</v>
      </c>
      <c r="Q55" t="s">
        <v>196</v>
      </c>
      <c r="R55">
        <v>2015</v>
      </c>
      <c r="S55" t="s">
        <v>195</v>
      </c>
      <c r="T55" t="s">
        <v>195</v>
      </c>
      <c r="U55">
        <v>4.1500000000000004</v>
      </c>
      <c r="V55" t="s">
        <v>73</v>
      </c>
      <c r="W55" t="s">
        <v>63</v>
      </c>
      <c r="Y55">
        <v>1</v>
      </c>
      <c r="Z55" t="s">
        <v>83</v>
      </c>
      <c r="AA55">
        <v>27059</v>
      </c>
      <c r="AB55">
        <v>273</v>
      </c>
      <c r="AD55">
        <v>0</v>
      </c>
      <c r="AE55">
        <v>0</v>
      </c>
      <c r="AG55">
        <v>27332</v>
      </c>
    </row>
    <row r="56" spans="1:33" x14ac:dyDescent="0.25">
      <c r="A56" t="s">
        <v>47</v>
      </c>
      <c r="B56" t="s">
        <v>48</v>
      </c>
      <c r="C56" t="s">
        <v>49</v>
      </c>
      <c r="D56" t="s">
        <v>50</v>
      </c>
      <c r="E56">
        <v>2014</v>
      </c>
      <c r="F56" t="s">
        <v>51</v>
      </c>
      <c r="G56" t="s">
        <v>52</v>
      </c>
      <c r="H56" t="s">
        <v>53</v>
      </c>
      <c r="I56" t="s">
        <v>54</v>
      </c>
      <c r="J56" t="s">
        <v>74</v>
      </c>
      <c r="K56" t="s">
        <v>56</v>
      </c>
      <c r="L56" t="s">
        <v>69</v>
      </c>
      <c r="M56" t="s">
        <v>141</v>
      </c>
      <c r="N56" t="s">
        <v>53</v>
      </c>
      <c r="O56" t="s">
        <v>54</v>
      </c>
      <c r="P56" t="s">
        <v>70</v>
      </c>
      <c r="Q56" t="s">
        <v>197</v>
      </c>
      <c r="R56">
        <v>2015</v>
      </c>
      <c r="S56" t="s">
        <v>195</v>
      </c>
      <c r="T56" t="s">
        <v>195</v>
      </c>
      <c r="U56">
        <v>4.1500000000000004</v>
      </c>
      <c r="V56" t="s">
        <v>73</v>
      </c>
      <c r="W56" t="s">
        <v>63</v>
      </c>
      <c r="Y56">
        <v>1</v>
      </c>
      <c r="Z56" t="s">
        <v>83</v>
      </c>
      <c r="AA56">
        <v>58903</v>
      </c>
      <c r="AB56">
        <v>0</v>
      </c>
      <c r="AD56">
        <v>0</v>
      </c>
      <c r="AE56">
        <v>0</v>
      </c>
      <c r="AG56">
        <v>58903</v>
      </c>
    </row>
    <row r="57" spans="1:33" x14ac:dyDescent="0.25">
      <c r="A57" t="s">
        <v>47</v>
      </c>
      <c r="B57" t="s">
        <v>48</v>
      </c>
      <c r="C57" t="s">
        <v>49</v>
      </c>
      <c r="D57" t="s">
        <v>50</v>
      </c>
      <c r="E57">
        <v>2014</v>
      </c>
      <c r="F57" t="s">
        <v>51</v>
      </c>
      <c r="G57" t="s">
        <v>52</v>
      </c>
      <c r="H57" t="s">
        <v>53</v>
      </c>
      <c r="I57" t="s">
        <v>54</v>
      </c>
      <c r="J57" t="s">
        <v>74</v>
      </c>
      <c r="K57" t="s">
        <v>56</v>
      </c>
      <c r="L57" t="s">
        <v>69</v>
      </c>
      <c r="M57" t="s">
        <v>141</v>
      </c>
      <c r="N57" t="s">
        <v>53</v>
      </c>
      <c r="O57" t="s">
        <v>54</v>
      </c>
      <c r="P57" t="s">
        <v>70</v>
      </c>
      <c r="Q57" t="s">
        <v>198</v>
      </c>
      <c r="R57">
        <v>2015</v>
      </c>
      <c r="S57" t="s">
        <v>195</v>
      </c>
      <c r="T57" t="s">
        <v>195</v>
      </c>
      <c r="U57">
        <v>4.1500000000000004</v>
      </c>
      <c r="V57" t="s">
        <v>73</v>
      </c>
      <c r="W57" t="s">
        <v>63</v>
      </c>
      <c r="Y57">
        <v>1</v>
      </c>
      <c r="Z57" t="s">
        <v>83</v>
      </c>
      <c r="AA57">
        <v>57730</v>
      </c>
      <c r="AB57">
        <v>436</v>
      </c>
      <c r="AD57">
        <v>0</v>
      </c>
      <c r="AE57">
        <v>0</v>
      </c>
      <c r="AG57">
        <v>58166</v>
      </c>
    </row>
    <row r="58" spans="1:33" x14ac:dyDescent="0.25">
      <c r="A58" t="s">
        <v>47</v>
      </c>
      <c r="B58" t="s">
        <v>48</v>
      </c>
      <c r="C58" t="s">
        <v>49</v>
      </c>
      <c r="D58" t="s">
        <v>50</v>
      </c>
      <c r="E58">
        <v>2014</v>
      </c>
      <c r="F58" t="s">
        <v>51</v>
      </c>
      <c r="G58" t="s">
        <v>52</v>
      </c>
      <c r="H58" t="s">
        <v>53</v>
      </c>
      <c r="I58" t="s">
        <v>54</v>
      </c>
      <c r="J58" t="s">
        <v>74</v>
      </c>
      <c r="K58" t="s">
        <v>56</v>
      </c>
      <c r="L58" t="s">
        <v>69</v>
      </c>
      <c r="M58" t="s">
        <v>141</v>
      </c>
      <c r="N58" t="s">
        <v>53</v>
      </c>
      <c r="O58" t="s">
        <v>54</v>
      </c>
      <c r="P58" t="s">
        <v>75</v>
      </c>
      <c r="Q58" t="s">
        <v>199</v>
      </c>
      <c r="R58">
        <v>2015</v>
      </c>
      <c r="S58" t="s">
        <v>200</v>
      </c>
      <c r="T58" t="s">
        <v>200</v>
      </c>
      <c r="U58">
        <v>1.44</v>
      </c>
      <c r="V58" t="s">
        <v>62</v>
      </c>
      <c r="W58" t="s">
        <v>63</v>
      </c>
      <c r="X58" t="s">
        <v>201</v>
      </c>
      <c r="Y58">
        <v>1</v>
      </c>
      <c r="AA58">
        <v>0</v>
      </c>
      <c r="AB58">
        <v>0</v>
      </c>
      <c r="AD58">
        <v>0</v>
      </c>
      <c r="AE58">
        <v>0</v>
      </c>
      <c r="AF58">
        <v>15000</v>
      </c>
      <c r="AG58">
        <v>15000</v>
      </c>
    </row>
    <row r="59" spans="1:33" x14ac:dyDescent="0.25">
      <c r="A59" t="s">
        <v>47</v>
      </c>
      <c r="B59" t="s">
        <v>48</v>
      </c>
      <c r="C59" t="s">
        <v>49</v>
      </c>
      <c r="D59" t="s">
        <v>50</v>
      </c>
      <c r="E59">
        <v>2015</v>
      </c>
      <c r="F59" t="s">
        <v>51</v>
      </c>
      <c r="G59" t="s">
        <v>52</v>
      </c>
      <c r="H59" t="s">
        <v>53</v>
      </c>
      <c r="I59" t="s">
        <v>54</v>
      </c>
      <c r="J59" t="s">
        <v>74</v>
      </c>
      <c r="K59" t="s">
        <v>56</v>
      </c>
      <c r="L59" t="s">
        <v>69</v>
      </c>
      <c r="M59" t="s">
        <v>141</v>
      </c>
      <c r="N59" t="s">
        <v>53</v>
      </c>
      <c r="O59" t="s">
        <v>54</v>
      </c>
      <c r="P59" t="s">
        <v>70</v>
      </c>
      <c r="Q59" t="s">
        <v>202</v>
      </c>
      <c r="R59">
        <v>2016</v>
      </c>
      <c r="S59" t="s">
        <v>203</v>
      </c>
      <c r="T59" t="s">
        <v>204</v>
      </c>
      <c r="U59">
        <v>5</v>
      </c>
      <c r="V59" t="s">
        <v>73</v>
      </c>
      <c r="W59" t="s">
        <v>63</v>
      </c>
      <c r="Y59">
        <v>1</v>
      </c>
      <c r="Z59" t="s">
        <v>83</v>
      </c>
      <c r="AA59">
        <v>59527</v>
      </c>
      <c r="AB59">
        <v>0</v>
      </c>
      <c r="AD59">
        <v>0</v>
      </c>
      <c r="AE59">
        <v>0</v>
      </c>
      <c r="AF59">
        <v>4465</v>
      </c>
      <c r="AG59">
        <v>63992</v>
      </c>
    </row>
    <row r="60" spans="1:33" x14ac:dyDescent="0.25">
      <c r="A60" t="s">
        <v>47</v>
      </c>
      <c r="B60" t="s">
        <v>48</v>
      </c>
      <c r="C60" t="s">
        <v>49</v>
      </c>
      <c r="D60" t="s">
        <v>50</v>
      </c>
      <c r="E60">
        <v>2015</v>
      </c>
      <c r="F60" t="s">
        <v>51</v>
      </c>
      <c r="G60" t="s">
        <v>52</v>
      </c>
      <c r="H60" t="s">
        <v>53</v>
      </c>
      <c r="I60" t="s">
        <v>54</v>
      </c>
      <c r="J60" t="s">
        <v>74</v>
      </c>
      <c r="K60" t="s">
        <v>56</v>
      </c>
      <c r="L60" t="s">
        <v>69</v>
      </c>
      <c r="M60" t="s">
        <v>141</v>
      </c>
      <c r="N60" t="s">
        <v>53</v>
      </c>
      <c r="O60" t="s">
        <v>54</v>
      </c>
      <c r="P60" t="s">
        <v>70</v>
      </c>
      <c r="Q60" t="s">
        <v>205</v>
      </c>
      <c r="R60">
        <v>2016</v>
      </c>
      <c r="S60" t="s">
        <v>203</v>
      </c>
      <c r="T60" t="s">
        <v>204</v>
      </c>
      <c r="U60">
        <v>5</v>
      </c>
      <c r="V60" t="s">
        <v>73</v>
      </c>
      <c r="W60" t="s">
        <v>63</v>
      </c>
      <c r="Y60">
        <v>1</v>
      </c>
      <c r="Z60" t="s">
        <v>83</v>
      </c>
      <c r="AA60">
        <v>58506</v>
      </c>
      <c r="AB60">
        <v>0</v>
      </c>
      <c r="AD60">
        <v>0</v>
      </c>
      <c r="AE60">
        <v>0</v>
      </c>
      <c r="AF60">
        <v>4389</v>
      </c>
      <c r="AG60">
        <v>62895</v>
      </c>
    </row>
    <row r="61" spans="1:33" x14ac:dyDescent="0.25">
      <c r="A61" t="s">
        <v>47</v>
      </c>
      <c r="B61" t="s">
        <v>48</v>
      </c>
      <c r="C61" t="s">
        <v>49</v>
      </c>
      <c r="D61" t="s">
        <v>50</v>
      </c>
      <c r="E61">
        <v>2015</v>
      </c>
      <c r="F61" t="s">
        <v>51</v>
      </c>
      <c r="G61" t="s">
        <v>52</v>
      </c>
      <c r="H61" t="s">
        <v>53</v>
      </c>
      <c r="I61" t="s">
        <v>54</v>
      </c>
      <c r="J61" t="s">
        <v>74</v>
      </c>
      <c r="K61" t="s">
        <v>56</v>
      </c>
      <c r="L61" t="s">
        <v>69</v>
      </c>
      <c r="M61" t="s">
        <v>141</v>
      </c>
      <c r="N61" t="s">
        <v>53</v>
      </c>
      <c r="O61" t="s">
        <v>54</v>
      </c>
      <c r="P61" t="s">
        <v>70</v>
      </c>
      <c r="Q61" t="s">
        <v>206</v>
      </c>
      <c r="R61">
        <v>2016</v>
      </c>
      <c r="S61" t="s">
        <v>203</v>
      </c>
      <c r="T61" t="s">
        <v>204</v>
      </c>
      <c r="U61">
        <v>5</v>
      </c>
      <c r="V61" t="s">
        <v>73</v>
      </c>
      <c r="W61" t="s">
        <v>63</v>
      </c>
      <c r="Y61">
        <v>1</v>
      </c>
      <c r="Z61" t="s">
        <v>83</v>
      </c>
      <c r="AA61">
        <v>36043</v>
      </c>
      <c r="AB61">
        <v>0</v>
      </c>
      <c r="AD61">
        <v>0</v>
      </c>
      <c r="AE61">
        <v>0</v>
      </c>
      <c r="AF61">
        <v>2704</v>
      </c>
      <c r="AG61">
        <v>38747</v>
      </c>
    </row>
    <row r="62" spans="1:33" x14ac:dyDescent="0.25">
      <c r="A62" t="s">
        <v>47</v>
      </c>
      <c r="B62" t="s">
        <v>48</v>
      </c>
      <c r="C62" t="s">
        <v>49</v>
      </c>
      <c r="D62" t="s">
        <v>50</v>
      </c>
      <c r="E62">
        <v>2016</v>
      </c>
      <c r="F62" t="s">
        <v>51</v>
      </c>
      <c r="G62" t="s">
        <v>52</v>
      </c>
      <c r="H62" t="s">
        <v>53</v>
      </c>
      <c r="I62" t="s">
        <v>54</v>
      </c>
      <c r="J62" t="s">
        <v>74</v>
      </c>
      <c r="K62" t="s">
        <v>56</v>
      </c>
      <c r="L62" t="s">
        <v>69</v>
      </c>
      <c r="M62" t="s">
        <v>141</v>
      </c>
      <c r="N62" t="s">
        <v>53</v>
      </c>
      <c r="O62" t="s">
        <v>54</v>
      </c>
      <c r="P62" t="s">
        <v>70</v>
      </c>
      <c r="Q62" t="s">
        <v>207</v>
      </c>
      <c r="R62">
        <v>2017</v>
      </c>
      <c r="S62" t="s">
        <v>208</v>
      </c>
      <c r="T62" t="s">
        <v>208</v>
      </c>
      <c r="U62">
        <v>4.5</v>
      </c>
      <c r="V62" t="s">
        <v>73</v>
      </c>
      <c r="W62" t="s">
        <v>63</v>
      </c>
      <c r="Y62">
        <v>1</v>
      </c>
      <c r="Z62" t="s">
        <v>83</v>
      </c>
      <c r="AA62">
        <v>47253</v>
      </c>
      <c r="AB62">
        <v>237</v>
      </c>
      <c r="AD62">
        <v>0</v>
      </c>
      <c r="AE62">
        <v>0</v>
      </c>
      <c r="AF62">
        <v>794</v>
      </c>
      <c r="AG62">
        <v>48284</v>
      </c>
    </row>
    <row r="63" spans="1:33" x14ac:dyDescent="0.25">
      <c r="A63" t="s">
        <v>47</v>
      </c>
      <c r="B63" t="s">
        <v>48</v>
      </c>
      <c r="C63" t="s">
        <v>49</v>
      </c>
      <c r="D63" t="s">
        <v>50</v>
      </c>
      <c r="E63">
        <v>2016</v>
      </c>
      <c r="F63" t="s">
        <v>51</v>
      </c>
      <c r="G63" t="s">
        <v>52</v>
      </c>
      <c r="H63" t="s">
        <v>53</v>
      </c>
      <c r="I63" t="s">
        <v>54</v>
      </c>
      <c r="J63" t="s">
        <v>74</v>
      </c>
      <c r="K63" t="s">
        <v>56</v>
      </c>
      <c r="L63" t="s">
        <v>69</v>
      </c>
      <c r="M63" t="s">
        <v>141</v>
      </c>
      <c r="N63" t="s">
        <v>53</v>
      </c>
      <c r="O63" t="s">
        <v>54</v>
      </c>
      <c r="P63" t="s">
        <v>70</v>
      </c>
      <c r="Q63" t="s">
        <v>209</v>
      </c>
      <c r="R63">
        <v>2017</v>
      </c>
      <c r="S63" t="s">
        <v>208</v>
      </c>
      <c r="T63" t="s">
        <v>208</v>
      </c>
      <c r="U63">
        <v>4.5</v>
      </c>
      <c r="V63" t="s">
        <v>73</v>
      </c>
      <c r="W63" t="s">
        <v>63</v>
      </c>
      <c r="Y63">
        <v>1</v>
      </c>
      <c r="Z63" t="s">
        <v>83</v>
      </c>
      <c r="AA63">
        <v>43925</v>
      </c>
      <c r="AB63">
        <v>220</v>
      </c>
      <c r="AD63">
        <v>0</v>
      </c>
      <c r="AE63">
        <v>0</v>
      </c>
      <c r="AF63">
        <v>737</v>
      </c>
      <c r="AG63">
        <v>44882</v>
      </c>
    </row>
    <row r="64" spans="1:33" x14ac:dyDescent="0.25">
      <c r="A64" t="s">
        <v>47</v>
      </c>
      <c r="B64" t="s">
        <v>48</v>
      </c>
      <c r="C64" t="s">
        <v>49</v>
      </c>
      <c r="D64" t="s">
        <v>50</v>
      </c>
      <c r="E64">
        <v>2017</v>
      </c>
      <c r="F64" t="s">
        <v>51</v>
      </c>
      <c r="G64" t="s">
        <v>52</v>
      </c>
      <c r="H64" t="s">
        <v>53</v>
      </c>
      <c r="I64" t="s">
        <v>54</v>
      </c>
      <c r="J64" t="s">
        <v>74</v>
      </c>
      <c r="K64" t="s">
        <v>56</v>
      </c>
      <c r="L64" t="s">
        <v>69</v>
      </c>
      <c r="M64" t="s">
        <v>141</v>
      </c>
      <c r="N64" t="s">
        <v>53</v>
      </c>
      <c r="O64" t="s">
        <v>54</v>
      </c>
      <c r="P64" t="s">
        <v>70</v>
      </c>
      <c r="Q64" t="s">
        <v>210</v>
      </c>
      <c r="R64">
        <v>2018</v>
      </c>
      <c r="S64" t="s">
        <v>211</v>
      </c>
      <c r="T64" t="s">
        <v>211</v>
      </c>
      <c r="U64">
        <v>4.5</v>
      </c>
      <c r="V64" t="s">
        <v>73</v>
      </c>
      <c r="W64" t="s">
        <v>63</v>
      </c>
      <c r="Y64">
        <v>1</v>
      </c>
      <c r="Z64" t="s">
        <v>83</v>
      </c>
      <c r="AA64">
        <v>37599</v>
      </c>
      <c r="AB64">
        <v>189</v>
      </c>
      <c r="AD64">
        <v>0</v>
      </c>
      <c r="AE64">
        <v>0</v>
      </c>
      <c r="AF64">
        <v>1173</v>
      </c>
      <c r="AG64">
        <v>38961</v>
      </c>
    </row>
    <row r="65" spans="1:33" x14ac:dyDescent="0.25">
      <c r="A65" t="s">
        <v>47</v>
      </c>
      <c r="B65" t="s">
        <v>48</v>
      </c>
      <c r="C65" t="s">
        <v>49</v>
      </c>
      <c r="D65" t="s">
        <v>50</v>
      </c>
      <c r="E65">
        <v>2017</v>
      </c>
      <c r="F65" t="s">
        <v>51</v>
      </c>
      <c r="G65" t="s">
        <v>52</v>
      </c>
      <c r="H65" t="s">
        <v>53</v>
      </c>
      <c r="I65" t="s">
        <v>54</v>
      </c>
      <c r="J65" t="s">
        <v>74</v>
      </c>
      <c r="K65" t="s">
        <v>56</v>
      </c>
      <c r="L65" t="s">
        <v>69</v>
      </c>
      <c r="M65" t="s">
        <v>141</v>
      </c>
      <c r="N65" t="s">
        <v>53</v>
      </c>
      <c r="O65" t="s">
        <v>54</v>
      </c>
      <c r="P65" t="s">
        <v>70</v>
      </c>
      <c r="Q65" t="s">
        <v>212</v>
      </c>
      <c r="R65">
        <v>2018</v>
      </c>
      <c r="S65" t="s">
        <v>211</v>
      </c>
      <c r="T65" t="s">
        <v>211</v>
      </c>
      <c r="U65">
        <v>4.5</v>
      </c>
      <c r="V65" t="s">
        <v>73</v>
      </c>
      <c r="W65" t="s">
        <v>63</v>
      </c>
      <c r="Y65">
        <v>1</v>
      </c>
      <c r="Z65" t="s">
        <v>83</v>
      </c>
      <c r="AA65">
        <v>59676</v>
      </c>
      <c r="AB65">
        <v>450</v>
      </c>
      <c r="AD65">
        <v>0</v>
      </c>
      <c r="AE65">
        <v>0</v>
      </c>
      <c r="AF65">
        <v>1865</v>
      </c>
      <c r="AG65">
        <v>61991</v>
      </c>
    </row>
    <row r="66" spans="1:33" x14ac:dyDescent="0.25">
      <c r="A66" t="s">
        <v>47</v>
      </c>
      <c r="B66" t="s">
        <v>48</v>
      </c>
      <c r="C66" t="s">
        <v>49</v>
      </c>
      <c r="D66" t="s">
        <v>50</v>
      </c>
      <c r="E66">
        <v>2018</v>
      </c>
      <c r="F66" t="s">
        <v>51</v>
      </c>
      <c r="G66" t="s">
        <v>52</v>
      </c>
      <c r="H66" t="s">
        <v>53</v>
      </c>
      <c r="I66" t="s">
        <v>54</v>
      </c>
      <c r="J66" t="s">
        <v>74</v>
      </c>
      <c r="K66" t="s">
        <v>56</v>
      </c>
      <c r="L66" t="s">
        <v>69</v>
      </c>
      <c r="M66" t="s">
        <v>141</v>
      </c>
      <c r="N66" t="s">
        <v>53</v>
      </c>
      <c r="O66" t="s">
        <v>54</v>
      </c>
      <c r="P66" t="s">
        <v>70</v>
      </c>
      <c r="Q66" t="s">
        <v>213</v>
      </c>
      <c r="R66">
        <v>2019</v>
      </c>
      <c r="S66" t="s">
        <v>214</v>
      </c>
      <c r="T66" t="s">
        <v>214</v>
      </c>
      <c r="U66">
        <v>4.5</v>
      </c>
      <c r="V66" t="s">
        <v>73</v>
      </c>
      <c r="W66" t="s">
        <v>63</v>
      </c>
      <c r="Y66">
        <v>1</v>
      </c>
      <c r="Z66" t="s">
        <v>83</v>
      </c>
      <c r="AA66">
        <v>3454</v>
      </c>
      <c r="AB66">
        <v>0</v>
      </c>
      <c r="AC66" t="s">
        <v>83</v>
      </c>
      <c r="AD66">
        <v>270</v>
      </c>
      <c r="AE66">
        <v>0</v>
      </c>
      <c r="AG66">
        <v>3724</v>
      </c>
    </row>
    <row r="67" spans="1:33" x14ac:dyDescent="0.25">
      <c r="A67" t="s">
        <v>47</v>
      </c>
      <c r="B67" t="s">
        <v>48</v>
      </c>
      <c r="C67" t="s">
        <v>49</v>
      </c>
      <c r="D67" t="s">
        <v>50</v>
      </c>
      <c r="E67">
        <v>2018</v>
      </c>
      <c r="F67" t="s">
        <v>51</v>
      </c>
      <c r="G67" t="s">
        <v>52</v>
      </c>
      <c r="H67" t="s">
        <v>53</v>
      </c>
      <c r="I67" t="s">
        <v>54</v>
      </c>
      <c r="J67" t="s">
        <v>74</v>
      </c>
      <c r="K67" t="s">
        <v>56</v>
      </c>
      <c r="L67" t="s">
        <v>69</v>
      </c>
      <c r="M67" t="s">
        <v>141</v>
      </c>
      <c r="N67" t="s">
        <v>53</v>
      </c>
      <c r="O67" t="s">
        <v>54</v>
      </c>
      <c r="P67" t="s">
        <v>70</v>
      </c>
      <c r="Q67" t="s">
        <v>215</v>
      </c>
      <c r="R67">
        <v>2019</v>
      </c>
      <c r="S67" t="s">
        <v>214</v>
      </c>
      <c r="T67" t="s">
        <v>214</v>
      </c>
      <c r="U67">
        <v>4.5</v>
      </c>
      <c r="V67" t="s">
        <v>73</v>
      </c>
      <c r="W67" t="s">
        <v>63</v>
      </c>
      <c r="Y67">
        <v>1</v>
      </c>
      <c r="Z67" t="s">
        <v>83</v>
      </c>
      <c r="AA67">
        <v>29531</v>
      </c>
      <c r="AB67">
        <v>148</v>
      </c>
      <c r="AC67" t="s">
        <v>83</v>
      </c>
      <c r="AD67">
        <v>2317</v>
      </c>
      <c r="AE67">
        <v>0</v>
      </c>
      <c r="AG67">
        <v>31996</v>
      </c>
    </row>
    <row r="68" spans="1:33" x14ac:dyDescent="0.25">
      <c r="A68" t="s">
        <v>47</v>
      </c>
      <c r="B68" t="s">
        <v>48</v>
      </c>
      <c r="C68" t="s">
        <v>49</v>
      </c>
      <c r="D68" t="s">
        <v>50</v>
      </c>
      <c r="E68">
        <v>2018</v>
      </c>
      <c r="F68" t="s">
        <v>51</v>
      </c>
      <c r="G68" t="s">
        <v>52</v>
      </c>
      <c r="H68" t="s">
        <v>53</v>
      </c>
      <c r="I68" t="s">
        <v>54</v>
      </c>
      <c r="J68" t="s">
        <v>74</v>
      </c>
      <c r="K68" t="s">
        <v>56</v>
      </c>
      <c r="L68" t="s">
        <v>69</v>
      </c>
      <c r="M68" t="s">
        <v>141</v>
      </c>
      <c r="N68" t="s">
        <v>53</v>
      </c>
      <c r="O68" t="s">
        <v>54</v>
      </c>
      <c r="P68" t="s">
        <v>70</v>
      </c>
      <c r="Q68" t="s">
        <v>216</v>
      </c>
      <c r="R68">
        <v>2019</v>
      </c>
      <c r="S68" t="s">
        <v>214</v>
      </c>
      <c r="T68" t="s">
        <v>214</v>
      </c>
      <c r="U68">
        <v>4.5</v>
      </c>
      <c r="V68" t="s">
        <v>73</v>
      </c>
      <c r="W68" t="s">
        <v>63</v>
      </c>
      <c r="Y68">
        <v>1</v>
      </c>
      <c r="Z68" t="s">
        <v>83</v>
      </c>
      <c r="AA68">
        <v>59218</v>
      </c>
      <c r="AB68">
        <v>148</v>
      </c>
      <c r="AC68" t="s">
        <v>83</v>
      </c>
      <c r="AD68">
        <v>4634</v>
      </c>
      <c r="AE68">
        <v>0</v>
      </c>
      <c r="AG68">
        <v>64000</v>
      </c>
    </row>
    <row r="69" spans="1:33" x14ac:dyDescent="0.25">
      <c r="A69" t="s">
        <v>47</v>
      </c>
      <c r="B69" t="s">
        <v>48</v>
      </c>
      <c r="C69" t="s">
        <v>49</v>
      </c>
      <c r="D69" t="s">
        <v>50</v>
      </c>
      <c r="E69">
        <v>2019</v>
      </c>
      <c r="F69" t="s">
        <v>51</v>
      </c>
      <c r="G69" t="s">
        <v>52</v>
      </c>
      <c r="H69" t="s">
        <v>53</v>
      </c>
      <c r="I69" t="s">
        <v>54</v>
      </c>
      <c r="J69" t="s">
        <v>74</v>
      </c>
      <c r="K69" t="s">
        <v>56</v>
      </c>
      <c r="L69" t="s">
        <v>69</v>
      </c>
      <c r="M69" t="s">
        <v>141</v>
      </c>
      <c r="N69" t="s">
        <v>53</v>
      </c>
      <c r="O69" t="s">
        <v>54</v>
      </c>
      <c r="P69" t="s">
        <v>75</v>
      </c>
      <c r="Q69" t="s">
        <v>217</v>
      </c>
      <c r="R69">
        <v>2020</v>
      </c>
      <c r="S69" t="s">
        <v>218</v>
      </c>
      <c r="T69" t="s">
        <v>218</v>
      </c>
      <c r="U69">
        <v>3.5</v>
      </c>
      <c r="V69" t="s">
        <v>73</v>
      </c>
      <c r="W69" t="s">
        <v>63</v>
      </c>
      <c r="Y69">
        <v>1</v>
      </c>
      <c r="Z69" t="s">
        <v>83</v>
      </c>
      <c r="AA69">
        <v>50396</v>
      </c>
      <c r="AB69">
        <v>134</v>
      </c>
      <c r="AD69">
        <v>0</v>
      </c>
      <c r="AE69">
        <v>0</v>
      </c>
      <c r="AG69">
        <v>50530</v>
      </c>
    </row>
    <row r="70" spans="1:33" x14ac:dyDescent="0.25">
      <c r="A70" t="s">
        <v>47</v>
      </c>
      <c r="B70" t="s">
        <v>48</v>
      </c>
      <c r="C70" t="s">
        <v>49</v>
      </c>
      <c r="D70" t="s">
        <v>50</v>
      </c>
      <c r="E70">
        <v>2019</v>
      </c>
      <c r="F70" t="s">
        <v>51</v>
      </c>
      <c r="G70" t="s">
        <v>52</v>
      </c>
      <c r="H70" t="s">
        <v>53</v>
      </c>
      <c r="I70" t="s">
        <v>54</v>
      </c>
      <c r="J70" t="s">
        <v>74</v>
      </c>
      <c r="K70" t="s">
        <v>56</v>
      </c>
      <c r="L70" t="s">
        <v>69</v>
      </c>
      <c r="M70" t="s">
        <v>141</v>
      </c>
      <c r="N70" t="s">
        <v>53</v>
      </c>
      <c r="O70" t="s">
        <v>54</v>
      </c>
      <c r="P70" t="s">
        <v>75</v>
      </c>
      <c r="Q70" t="s">
        <v>219</v>
      </c>
      <c r="R70">
        <v>2020</v>
      </c>
      <c r="S70" t="s">
        <v>218</v>
      </c>
      <c r="T70" t="s">
        <v>218</v>
      </c>
      <c r="U70">
        <v>3.5</v>
      </c>
      <c r="V70" t="s">
        <v>73</v>
      </c>
      <c r="W70" t="s">
        <v>63</v>
      </c>
      <c r="Y70">
        <v>1</v>
      </c>
      <c r="Z70" t="s">
        <v>83</v>
      </c>
      <c r="AA70">
        <v>32553</v>
      </c>
      <c r="AB70">
        <v>0</v>
      </c>
      <c r="AD70">
        <v>0</v>
      </c>
      <c r="AE70">
        <v>0</v>
      </c>
      <c r="AG70">
        <v>32553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687A-97E9-4EF6-9B0D-257162676A28}">
  <dimension ref="A1:B79"/>
  <sheetViews>
    <sheetView tabSelected="1" workbookViewId="0"/>
  </sheetViews>
  <sheetFormatPr defaultRowHeight="15" x14ac:dyDescent="0.25"/>
  <cols>
    <col min="1" max="1" width="20.7109375" bestFit="1" customWidth="1"/>
    <col min="2" max="2" width="16.85546875" bestFit="1" customWidth="1"/>
    <col min="3" max="3" width="11.28515625" bestFit="1" customWidth="1"/>
  </cols>
  <sheetData>
    <row r="1" spans="1:2" x14ac:dyDescent="0.25">
      <c r="A1" s="5" t="s">
        <v>37</v>
      </c>
      <c r="B1" t="s">
        <v>220</v>
      </c>
    </row>
    <row r="2" spans="1:2" x14ac:dyDescent="0.25">
      <c r="A2" s="5" t="s">
        <v>23</v>
      </c>
      <c r="B2" t="s">
        <v>220</v>
      </c>
    </row>
    <row r="4" spans="1:2" x14ac:dyDescent="0.25">
      <c r="A4" s="5" t="s">
        <v>223</v>
      </c>
      <c r="B4" s="11" t="s">
        <v>222</v>
      </c>
    </row>
    <row r="5" spans="1:2" x14ac:dyDescent="0.25">
      <c r="B5" s="10" t="s">
        <v>49</v>
      </c>
    </row>
    <row r="6" spans="1:2" x14ac:dyDescent="0.25">
      <c r="A6" s="5" t="s">
        <v>221</v>
      </c>
      <c r="B6" s="10" t="s">
        <v>50</v>
      </c>
    </row>
    <row r="7" spans="1:2" x14ac:dyDescent="0.25">
      <c r="A7" s="6" t="s">
        <v>51</v>
      </c>
      <c r="B7" s="9">
        <v>2963493</v>
      </c>
    </row>
    <row r="8" spans="1:2" x14ac:dyDescent="0.25">
      <c r="A8" s="7">
        <v>1988</v>
      </c>
      <c r="B8" s="9">
        <v>27000</v>
      </c>
    </row>
    <row r="9" spans="1:2" x14ac:dyDescent="0.25">
      <c r="A9" s="8" t="s">
        <v>58</v>
      </c>
      <c r="B9" s="9">
        <v>12000</v>
      </c>
    </row>
    <row r="10" spans="1:2" x14ac:dyDescent="0.25">
      <c r="A10" s="8" t="s">
        <v>65</v>
      </c>
      <c r="B10" s="9">
        <v>15000</v>
      </c>
    </row>
    <row r="11" spans="1:2" x14ac:dyDescent="0.25">
      <c r="A11" s="7">
        <v>1989</v>
      </c>
      <c r="B11" s="9">
        <v>1000</v>
      </c>
    </row>
    <row r="12" spans="1:2" x14ac:dyDescent="0.25">
      <c r="A12" s="8" t="s">
        <v>51</v>
      </c>
      <c r="B12" s="9">
        <v>1000</v>
      </c>
    </row>
    <row r="13" spans="1:2" x14ac:dyDescent="0.25">
      <c r="A13" s="7">
        <v>1990</v>
      </c>
      <c r="B13" s="9">
        <v>2500</v>
      </c>
    </row>
    <row r="14" spans="1:2" x14ac:dyDescent="0.25">
      <c r="A14" s="8" t="s">
        <v>51</v>
      </c>
      <c r="B14" s="9">
        <v>2500</v>
      </c>
    </row>
    <row r="15" spans="1:2" x14ac:dyDescent="0.25">
      <c r="A15" s="7">
        <v>1991</v>
      </c>
      <c r="B15" s="9">
        <v>14000</v>
      </c>
    </row>
    <row r="16" spans="1:2" x14ac:dyDescent="0.25">
      <c r="A16" s="8" t="s">
        <v>51</v>
      </c>
      <c r="B16" s="9">
        <v>14000</v>
      </c>
    </row>
    <row r="17" spans="1:2" x14ac:dyDescent="0.25">
      <c r="A17" s="7">
        <v>1992</v>
      </c>
      <c r="B17" s="9">
        <v>61585</v>
      </c>
    </row>
    <row r="18" spans="1:2" x14ac:dyDescent="0.25">
      <c r="A18" s="8" t="s">
        <v>58</v>
      </c>
      <c r="B18" s="9">
        <v>61585</v>
      </c>
    </row>
    <row r="19" spans="1:2" x14ac:dyDescent="0.25">
      <c r="A19" s="7">
        <v>1993</v>
      </c>
      <c r="B19" s="9">
        <v>81641</v>
      </c>
    </row>
    <row r="20" spans="1:2" x14ac:dyDescent="0.25">
      <c r="A20" s="8" t="s">
        <v>58</v>
      </c>
      <c r="B20" s="9">
        <v>81641</v>
      </c>
    </row>
    <row r="21" spans="1:2" x14ac:dyDescent="0.25">
      <c r="A21" s="7">
        <v>1994</v>
      </c>
      <c r="B21" s="9">
        <v>23090</v>
      </c>
    </row>
    <row r="22" spans="1:2" x14ac:dyDescent="0.25">
      <c r="A22" s="8" t="s">
        <v>58</v>
      </c>
      <c r="B22" s="9">
        <v>23090</v>
      </c>
    </row>
    <row r="23" spans="1:2" x14ac:dyDescent="0.25">
      <c r="A23" s="7">
        <v>1995</v>
      </c>
      <c r="B23" s="9">
        <v>93647</v>
      </c>
    </row>
    <row r="24" spans="1:2" x14ac:dyDescent="0.25">
      <c r="A24" s="8" t="s">
        <v>58</v>
      </c>
      <c r="B24" s="9">
        <v>93647</v>
      </c>
    </row>
    <row r="25" spans="1:2" x14ac:dyDescent="0.25">
      <c r="A25" s="7">
        <v>1997</v>
      </c>
      <c r="B25" s="9">
        <v>3000</v>
      </c>
    </row>
    <row r="26" spans="1:2" x14ac:dyDescent="0.25">
      <c r="A26" s="8" t="s">
        <v>51</v>
      </c>
      <c r="B26" s="9">
        <v>3000</v>
      </c>
    </row>
    <row r="27" spans="1:2" x14ac:dyDescent="0.25">
      <c r="A27" s="7">
        <v>1998</v>
      </c>
      <c r="B27" s="9">
        <v>100000</v>
      </c>
    </row>
    <row r="28" spans="1:2" x14ac:dyDescent="0.25">
      <c r="A28" s="8" t="s">
        <v>103</v>
      </c>
      <c r="B28" s="9">
        <v>100000</v>
      </c>
    </row>
    <row r="29" spans="1:2" x14ac:dyDescent="0.25">
      <c r="A29" s="7">
        <v>1999</v>
      </c>
      <c r="B29" s="9">
        <v>35000</v>
      </c>
    </row>
    <row r="30" spans="1:2" x14ac:dyDescent="0.25">
      <c r="A30" s="8" t="s">
        <v>58</v>
      </c>
      <c r="B30" s="9">
        <v>35000</v>
      </c>
    </row>
    <row r="31" spans="1:2" x14ac:dyDescent="0.25">
      <c r="A31" s="7">
        <v>2000</v>
      </c>
      <c r="B31" s="9">
        <v>45254</v>
      </c>
    </row>
    <row r="32" spans="1:2" x14ac:dyDescent="0.25">
      <c r="A32" s="8" t="s">
        <v>58</v>
      </c>
      <c r="B32" s="9">
        <v>45254</v>
      </c>
    </row>
    <row r="33" spans="1:2" x14ac:dyDescent="0.25">
      <c r="A33" s="7">
        <v>2001</v>
      </c>
      <c r="B33" s="9">
        <v>110000</v>
      </c>
    </row>
    <row r="34" spans="1:2" x14ac:dyDescent="0.25">
      <c r="A34" s="8" t="s">
        <v>58</v>
      </c>
      <c r="B34" s="9">
        <v>55000</v>
      </c>
    </row>
    <row r="35" spans="1:2" x14ac:dyDescent="0.25">
      <c r="A35" s="8" t="s">
        <v>51</v>
      </c>
      <c r="B35" s="9">
        <v>55000</v>
      </c>
    </row>
    <row r="36" spans="1:2" x14ac:dyDescent="0.25">
      <c r="A36" s="7">
        <v>2002</v>
      </c>
      <c r="B36" s="9">
        <v>120204</v>
      </c>
    </row>
    <row r="37" spans="1:2" x14ac:dyDescent="0.25">
      <c r="A37" s="8" t="s">
        <v>58</v>
      </c>
      <c r="B37" s="9">
        <v>60101</v>
      </c>
    </row>
    <row r="38" spans="1:2" x14ac:dyDescent="0.25">
      <c r="A38" s="8" t="s">
        <v>51</v>
      </c>
      <c r="B38" s="9">
        <v>60103</v>
      </c>
    </row>
    <row r="39" spans="1:2" x14ac:dyDescent="0.25">
      <c r="A39" s="7">
        <v>2003</v>
      </c>
      <c r="B39" s="9">
        <v>88000</v>
      </c>
    </row>
    <row r="40" spans="1:2" x14ac:dyDescent="0.25">
      <c r="A40" s="8" t="s">
        <v>58</v>
      </c>
      <c r="B40" s="9">
        <v>44000</v>
      </c>
    </row>
    <row r="41" spans="1:2" x14ac:dyDescent="0.25">
      <c r="A41" s="8" t="s">
        <v>51</v>
      </c>
      <c r="B41" s="9">
        <v>44000</v>
      </c>
    </row>
    <row r="42" spans="1:2" x14ac:dyDescent="0.25">
      <c r="A42" s="7">
        <v>2004</v>
      </c>
      <c r="B42" s="9">
        <v>29700</v>
      </c>
    </row>
    <row r="43" spans="1:2" x14ac:dyDescent="0.25">
      <c r="A43" s="8" t="s">
        <v>51</v>
      </c>
      <c r="B43" s="9">
        <v>29700</v>
      </c>
    </row>
    <row r="44" spans="1:2" x14ac:dyDescent="0.25">
      <c r="A44" s="7">
        <v>2005</v>
      </c>
      <c r="B44" s="9">
        <v>64001</v>
      </c>
    </row>
    <row r="45" spans="1:2" x14ac:dyDescent="0.25">
      <c r="A45" s="8" t="s">
        <v>141</v>
      </c>
      <c r="B45" s="9">
        <v>64001</v>
      </c>
    </row>
    <row r="46" spans="1:2" x14ac:dyDescent="0.25">
      <c r="A46" s="7">
        <v>2006</v>
      </c>
      <c r="B46" s="9">
        <v>160000</v>
      </c>
    </row>
    <row r="47" spans="1:2" x14ac:dyDescent="0.25">
      <c r="A47" s="8" t="s">
        <v>58</v>
      </c>
      <c r="B47" s="9">
        <v>82218</v>
      </c>
    </row>
    <row r="48" spans="1:2" x14ac:dyDescent="0.25">
      <c r="A48" s="8" t="s">
        <v>141</v>
      </c>
      <c r="B48" s="9">
        <v>77782</v>
      </c>
    </row>
    <row r="49" spans="1:2" x14ac:dyDescent="0.25">
      <c r="A49" s="7">
        <v>2007</v>
      </c>
      <c r="B49" s="9">
        <v>198000</v>
      </c>
    </row>
    <row r="50" spans="1:2" x14ac:dyDescent="0.25">
      <c r="A50" s="8" t="s">
        <v>58</v>
      </c>
      <c r="B50" s="9">
        <v>69000</v>
      </c>
    </row>
    <row r="51" spans="1:2" x14ac:dyDescent="0.25">
      <c r="A51" s="8" t="s">
        <v>141</v>
      </c>
      <c r="B51" s="9">
        <v>129000</v>
      </c>
    </row>
    <row r="52" spans="1:2" x14ac:dyDescent="0.25">
      <c r="A52" s="7">
        <v>2008</v>
      </c>
      <c r="B52" s="9">
        <v>140211</v>
      </c>
    </row>
    <row r="53" spans="1:2" x14ac:dyDescent="0.25">
      <c r="A53" s="8" t="s">
        <v>58</v>
      </c>
      <c r="B53" s="9">
        <v>37684</v>
      </c>
    </row>
    <row r="54" spans="1:2" x14ac:dyDescent="0.25">
      <c r="A54" s="8" t="s">
        <v>141</v>
      </c>
      <c r="B54" s="9">
        <v>102527</v>
      </c>
    </row>
    <row r="55" spans="1:2" x14ac:dyDescent="0.25">
      <c r="A55" s="7">
        <v>2009</v>
      </c>
      <c r="B55" s="9">
        <v>171926</v>
      </c>
    </row>
    <row r="56" spans="1:2" x14ac:dyDescent="0.25">
      <c r="A56" s="8" t="s">
        <v>58</v>
      </c>
      <c r="B56" s="9">
        <v>81216</v>
      </c>
    </row>
    <row r="57" spans="1:2" x14ac:dyDescent="0.25">
      <c r="A57" s="8" t="s">
        <v>141</v>
      </c>
      <c r="B57" s="9">
        <v>90710</v>
      </c>
    </row>
    <row r="58" spans="1:2" x14ac:dyDescent="0.25">
      <c r="A58" s="7">
        <v>2010</v>
      </c>
      <c r="B58" s="9">
        <v>175854</v>
      </c>
    </row>
    <row r="59" spans="1:2" x14ac:dyDescent="0.25">
      <c r="A59" s="8" t="s">
        <v>58</v>
      </c>
      <c r="B59" s="9">
        <v>68968</v>
      </c>
    </row>
    <row r="60" spans="1:2" x14ac:dyDescent="0.25">
      <c r="A60" s="8" t="s">
        <v>141</v>
      </c>
      <c r="B60" s="9">
        <v>39300</v>
      </c>
    </row>
    <row r="61" spans="1:2" x14ac:dyDescent="0.25">
      <c r="A61" s="8" t="s">
        <v>51</v>
      </c>
      <c r="B61" s="9">
        <v>67586</v>
      </c>
    </row>
    <row r="62" spans="1:2" x14ac:dyDescent="0.25">
      <c r="A62" s="7">
        <v>2011</v>
      </c>
      <c r="B62" s="9">
        <v>89784</v>
      </c>
    </row>
    <row r="63" spans="1:2" x14ac:dyDescent="0.25">
      <c r="A63" s="8" t="s">
        <v>141</v>
      </c>
      <c r="B63" s="9">
        <v>89784</v>
      </c>
    </row>
    <row r="64" spans="1:2" x14ac:dyDescent="0.25">
      <c r="A64" s="7">
        <v>2012</v>
      </c>
      <c r="B64" s="9">
        <v>220302</v>
      </c>
    </row>
    <row r="65" spans="1:2" x14ac:dyDescent="0.25">
      <c r="A65" s="8" t="s">
        <v>141</v>
      </c>
      <c r="B65" s="9">
        <v>220302</v>
      </c>
    </row>
    <row r="66" spans="1:2" x14ac:dyDescent="0.25">
      <c r="A66" s="7">
        <v>2013</v>
      </c>
      <c r="B66" s="9">
        <v>195308</v>
      </c>
    </row>
    <row r="67" spans="1:2" x14ac:dyDescent="0.25">
      <c r="A67" s="8" t="s">
        <v>141</v>
      </c>
      <c r="B67" s="9">
        <v>195308</v>
      </c>
    </row>
    <row r="68" spans="1:2" x14ac:dyDescent="0.25">
      <c r="A68" s="7">
        <v>2014</v>
      </c>
      <c r="B68" s="9">
        <v>169931</v>
      </c>
    </row>
    <row r="69" spans="1:2" x14ac:dyDescent="0.25">
      <c r="A69" s="8" t="s">
        <v>141</v>
      </c>
      <c r="B69" s="9">
        <v>169931</v>
      </c>
    </row>
    <row r="70" spans="1:2" x14ac:dyDescent="0.25">
      <c r="A70" s="7">
        <v>2015</v>
      </c>
      <c r="B70" s="9">
        <v>165634</v>
      </c>
    </row>
    <row r="71" spans="1:2" x14ac:dyDescent="0.25">
      <c r="A71" s="8" t="s">
        <v>141</v>
      </c>
      <c r="B71" s="9">
        <v>165634</v>
      </c>
    </row>
    <row r="72" spans="1:2" x14ac:dyDescent="0.25">
      <c r="A72" s="7">
        <v>2016</v>
      </c>
      <c r="B72" s="9">
        <v>93166</v>
      </c>
    </row>
    <row r="73" spans="1:2" x14ac:dyDescent="0.25">
      <c r="A73" s="8" t="s">
        <v>141</v>
      </c>
      <c r="B73" s="9">
        <v>93166</v>
      </c>
    </row>
    <row r="74" spans="1:2" x14ac:dyDescent="0.25">
      <c r="A74" s="7">
        <v>2017</v>
      </c>
      <c r="B74" s="9">
        <v>100952</v>
      </c>
    </row>
    <row r="75" spans="1:2" x14ac:dyDescent="0.25">
      <c r="A75" s="8" t="s">
        <v>141</v>
      </c>
      <c r="B75" s="9">
        <v>100952</v>
      </c>
    </row>
    <row r="76" spans="1:2" x14ac:dyDescent="0.25">
      <c r="A76" s="7">
        <v>2018</v>
      </c>
      <c r="B76" s="9">
        <v>99720</v>
      </c>
    </row>
    <row r="77" spans="1:2" x14ac:dyDescent="0.25">
      <c r="A77" s="8" t="s">
        <v>141</v>
      </c>
      <c r="B77" s="9">
        <v>99720</v>
      </c>
    </row>
    <row r="78" spans="1:2" x14ac:dyDescent="0.25">
      <c r="A78" s="7">
        <v>2019</v>
      </c>
      <c r="B78" s="9">
        <v>83083</v>
      </c>
    </row>
    <row r="79" spans="1:2" x14ac:dyDescent="0.25">
      <c r="A79" s="8" t="s">
        <v>141</v>
      </c>
      <c r="B79" s="9">
        <v>83083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Actual Release</vt:lpstr>
      <vt:lpstr>Summary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Zoehner, Brendan (DFO/MPO)</cp:lastModifiedBy>
  <dcterms:created xsi:type="dcterms:W3CDTF">2026-03-10T19:43:26Z</dcterms:created>
  <dcterms:modified xsi:type="dcterms:W3CDTF">2026-03-10T19:43:51Z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2026-03-10T19:43:27Z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8b9f1ac4-f2da-42a7-af0f-ff895ffe29dc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